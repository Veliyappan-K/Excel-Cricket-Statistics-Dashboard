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BDE675596F063BD2/Documents/"/>
    </mc:Choice>
  </mc:AlternateContent>
  <xr:revisionPtr revIDLastSave="6" documentId="8_{5F2AFD10-6736-45C4-A969-FB39E4EDE969}" xr6:coauthVersionLast="47" xr6:coauthVersionMax="47" xr10:uidLastSave="{07575EA8-98AD-41BC-AA87-EE6A7F0DE44A}"/>
  <bookViews>
    <workbookView xWindow="-108" yWindow="-108" windowWidth="23256" windowHeight="12456" activeTab="5" xr2:uid="{E6814438-0DCD-42AD-96CB-0D0C124F5033}"/>
  </bookViews>
  <sheets>
    <sheet name="Pivot Table1" sheetId="2" r:id="rId1"/>
    <sheet name="Pivot Table2" sheetId="3" r:id="rId2"/>
    <sheet name="Pivot Table3" sheetId="4" r:id="rId3"/>
    <sheet name="Pivot Table5" sheetId="5" r:id="rId4"/>
    <sheet name="Cricket_Data" sheetId="1" r:id="rId5"/>
    <sheet name="Dashboard" sheetId="7" r:id="rId6"/>
  </sheets>
  <definedNames>
    <definedName name="Slicer_Match">#N/A</definedName>
    <definedName name="Slicer_Player">#N/A</definedName>
    <definedName name="Slicer_Team">#N/A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2" i="1"/>
</calcChain>
</file>

<file path=xl/sharedStrings.xml><?xml version="1.0" encoding="utf-8"?>
<sst xmlns="http://schemas.openxmlformats.org/spreadsheetml/2006/main" count="341" uniqueCount="38">
  <si>
    <t>Player</t>
  </si>
  <si>
    <t>Team</t>
  </si>
  <si>
    <t>Match</t>
  </si>
  <si>
    <t>Runs</t>
  </si>
  <si>
    <t>Balls</t>
  </si>
  <si>
    <t>Fours</t>
  </si>
  <si>
    <t>Sixes</t>
  </si>
  <si>
    <t>Virat Kohli</t>
  </si>
  <si>
    <t>Rajat Patidar</t>
  </si>
  <si>
    <t>Rohit Sharma</t>
  </si>
  <si>
    <t>Suryakumar Yadav</t>
  </si>
  <si>
    <t>MS Dhoni</t>
  </si>
  <si>
    <t>Ruturaj Gaikwad</t>
  </si>
  <si>
    <t>Shreyas Iyer</t>
  </si>
  <si>
    <t>Andre Russell</t>
  </si>
  <si>
    <t>Sanju Samson</t>
  </si>
  <si>
    <t>Yashasvi Jaiswal</t>
  </si>
  <si>
    <t>RCB</t>
  </si>
  <si>
    <t>MI</t>
  </si>
  <si>
    <t>CSK</t>
  </si>
  <si>
    <t>KKR</t>
  </si>
  <si>
    <t>RR</t>
  </si>
  <si>
    <t>Match 1</t>
  </si>
  <si>
    <t>Match 2</t>
  </si>
  <si>
    <t>Match 3</t>
  </si>
  <si>
    <t>Match 4</t>
  </si>
  <si>
    <t>Match 5</t>
  </si>
  <si>
    <t>Match 6</t>
  </si>
  <si>
    <t>Match 7</t>
  </si>
  <si>
    <t>Match 8</t>
  </si>
  <si>
    <t>Match 9</t>
  </si>
  <si>
    <t>Match 10</t>
  </si>
  <si>
    <t>Strike Rate</t>
  </si>
  <si>
    <t>Row Labels</t>
  </si>
  <si>
    <t>Grand Total</t>
  </si>
  <si>
    <t>Sum of Runs</t>
  </si>
  <si>
    <t>Sum of Sixes</t>
  </si>
  <si>
    <t>Total Runs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</si>
</sst>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2"/>
      <color rgb="FF000000"/>
      <name val="Aptos Narrow"/>
      <family val="2"/>
      <scheme val="minor"/>
    </font>
  </fonts>
  <fills count="4">
    <fill>
      <patternFill patternType="none"/>
    </fill>
    <fill>
      <patternFill patternType="gray125"/>
    </fill>
    <fill>
      <patternFill patternType="solid">
        <fgColor theme="3" tint="0.499984740745262"/>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0" fontId="0" fillId="0" borderId="1" xfId="0" applyBorder="1"/>
    <xf numFmtId="0" fontId="0" fillId="2" borderId="1" xfId="0" applyFill="1" applyBorder="1"/>
    <xf numFmtId="0" fontId="0" fillId="2" borderId="3" xfId="0" applyFill="1" applyBorder="1"/>
    <xf numFmtId="0" fontId="0" fillId="0" borderId="3" xfId="0" applyBorder="1"/>
    <xf numFmtId="0" fontId="0" fillId="2" borderId="4" xfId="0" applyFill="1" applyBorder="1"/>
    <xf numFmtId="2" fontId="0" fillId="0" borderId="5" xfId="0" applyNumberFormat="1" applyBorder="1"/>
    <xf numFmtId="0" fontId="0" fillId="0" borderId="6" xfId="0" applyBorder="1"/>
    <xf numFmtId="0" fontId="0" fillId="0" borderId="7" xfId="0" applyBorder="1"/>
    <xf numFmtId="2" fontId="0" fillId="0" borderId="8" xfId="0" applyNumberFormat="1" applyBorder="1"/>
    <xf numFmtId="0" fontId="0" fillId="0" borderId="0" xfId="0" pivotButton="1"/>
    <xf numFmtId="0" fontId="0" fillId="0" borderId="0" xfId="0" applyAlignment="1">
      <alignment horizontal="left"/>
    </xf>
    <xf numFmtId="0" fontId="0" fillId="0" borderId="9" xfId="0" applyBorder="1"/>
    <xf numFmtId="0" fontId="0" fillId="3" borderId="2" xfId="0" applyFill="1" applyBorder="1"/>
    <xf numFmtId="0" fontId="1" fillId="0" borderId="0" xfId="0" applyFont="1"/>
  </cellXfs>
  <cellStyles count="1">
    <cellStyle name="Normal" xfId="0" builtinId="0"/>
  </cellStyles>
  <dxfs count="11">
    <dxf>
      <numFmt numFmtId="0" formatCode="General"/>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fill>
        <patternFill patternType="solid">
          <fgColor indexed="64"/>
          <bgColor theme="3" tint="0.499984740745262"/>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[Cricket_Statistics_Dashboard.xlsx]Pivot Table1!PivotTable1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chemeClr val="accent1"/>
                </a:solidFill>
              </a:rPr>
              <a:t>Team</a:t>
            </a:r>
            <a:r>
              <a:rPr lang="en-IN" sz="1100" b="1" baseline="0">
                <a:solidFill>
                  <a:schemeClr val="accent1"/>
                </a:solidFill>
              </a:rPr>
              <a:t> Wise Total Runs</a:t>
            </a:r>
            <a:endParaRPr lang="en-IN" sz="1100" b="1">
              <a:solidFill>
                <a:schemeClr val="accent1"/>
              </a:solidFill>
            </a:endParaRPr>
          </a:p>
        </c:rich>
      </c:tx>
      <c:layout>
        <c:manualLayout>
          <c:xMode val="edge"/>
          <c:yMode val="edge"/>
          <c:x val="0.3151596675415573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Table1'!$B$3</c:f>
              <c:strCache>
                <c:ptCount val="1"/>
                <c:pt idx="0">
                  <c:v>Total</c:v>
                </c:pt>
              </c:strCache>
            </c:strRef>
          </c:tx>
          <c:spPr>
            <a:solidFill>
              <a:schemeClr val="accent1"/>
            </a:solidFill>
            <a:ln>
              <a:noFill/>
            </a:ln>
            <a:effectLst/>
          </c:spPr>
          <c:invertIfNegative val="0"/>
          <c:cat>
            <c:strRef>
              <c:f>'Pivot Table1'!$A$4:$A$9</c:f>
              <c:strCache>
                <c:ptCount val="5"/>
                <c:pt idx="0">
                  <c:v>CSK</c:v>
                </c:pt>
                <c:pt idx="1">
                  <c:v>KKR</c:v>
                </c:pt>
                <c:pt idx="2">
                  <c:v>MI</c:v>
                </c:pt>
                <c:pt idx="3">
                  <c:v>RCB</c:v>
                </c:pt>
                <c:pt idx="4">
                  <c:v>RR</c:v>
                </c:pt>
              </c:strCache>
            </c:strRef>
          </c:cat>
          <c:val>
            <c:numRef>
              <c:f>'Pivot Table1'!$B$4:$B$9</c:f>
              <c:numCache>
                <c:formatCode>General</c:formatCode>
                <c:ptCount val="5"/>
                <c:pt idx="0">
                  <c:v>1274</c:v>
                </c:pt>
                <c:pt idx="1">
                  <c:v>1225</c:v>
                </c:pt>
                <c:pt idx="2">
                  <c:v>1156</c:v>
                </c:pt>
                <c:pt idx="3">
                  <c:v>1088</c:v>
                </c:pt>
                <c:pt idx="4">
                  <c:v>1088</c:v>
                </c:pt>
              </c:numCache>
            </c:numRef>
          </c:val>
          <c:extLst>
            <c:ext xmlns:c16="http://schemas.microsoft.com/office/drawing/2014/chart" uri="{C3380CC4-5D6E-409C-BE32-E72D297353CC}">
              <c16:uniqueId val="{00000000-3A50-4452-A8C9-6B1F725DD0EE}"/>
            </c:ext>
          </c:extLst>
        </c:ser>
        <c:dLbls>
          <c:showLegendKey val="0"/>
          <c:showVal val="0"/>
          <c:showCatName val="0"/>
          <c:showSerName val="0"/>
          <c:showPercent val="0"/>
          <c:showBubbleSize val="0"/>
        </c:dLbls>
        <c:gapWidth val="182"/>
        <c:axId val="1727652127"/>
        <c:axId val="1727653087"/>
      </c:barChart>
      <c:catAx>
        <c:axId val="172765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653087"/>
        <c:crosses val="autoZero"/>
        <c:auto val="1"/>
        <c:lblAlgn val="ctr"/>
        <c:lblOffset val="100"/>
        <c:noMultiLvlLbl val="0"/>
      </c:catAx>
      <c:valAx>
        <c:axId val="1727653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65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[Cricket_Statistics_Dashboard.xlsx]Pivot Table2!PivotTable2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Runs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Table2'!$B$3</c:f>
              <c:strCache>
                <c:ptCount val="1"/>
                <c:pt idx="0">
                  <c:v>Total</c:v>
                </c:pt>
              </c:strCache>
            </c:strRef>
          </c:tx>
          <c:spPr>
            <a:solidFill>
              <a:schemeClr val="accent1"/>
            </a:solidFill>
            <a:ln>
              <a:noFill/>
            </a:ln>
            <a:effectLst/>
          </c:spPr>
          <c:invertIfNegative val="0"/>
          <c:cat>
            <c:strRef>
              <c:f>'Pivot Table2'!$A$4:$A$9</c:f>
              <c:strCache>
                <c:ptCount val="5"/>
                <c:pt idx="0">
                  <c:v>Ruturaj Gaikwad</c:v>
                </c:pt>
                <c:pt idx="1">
                  <c:v>Rajat Patidar</c:v>
                </c:pt>
                <c:pt idx="2">
                  <c:v>Shreyas Iyer</c:v>
                </c:pt>
                <c:pt idx="3">
                  <c:v>MS Dhoni</c:v>
                </c:pt>
                <c:pt idx="4">
                  <c:v>Yashasvi Jaiswal</c:v>
                </c:pt>
              </c:strCache>
            </c:strRef>
          </c:cat>
          <c:val>
            <c:numRef>
              <c:f>'Pivot Table2'!$B$4:$B$9</c:f>
              <c:numCache>
                <c:formatCode>General</c:formatCode>
                <c:ptCount val="5"/>
                <c:pt idx="0">
                  <c:v>653</c:v>
                </c:pt>
                <c:pt idx="1">
                  <c:v>640</c:v>
                </c:pt>
                <c:pt idx="2">
                  <c:v>628</c:v>
                </c:pt>
                <c:pt idx="3">
                  <c:v>621</c:v>
                </c:pt>
                <c:pt idx="4">
                  <c:v>617</c:v>
                </c:pt>
              </c:numCache>
            </c:numRef>
          </c:val>
          <c:extLst>
            <c:ext xmlns:c16="http://schemas.microsoft.com/office/drawing/2014/chart" uri="{C3380CC4-5D6E-409C-BE32-E72D297353CC}">
              <c16:uniqueId val="{00000000-1058-44D0-94A7-7BD6D3046EC6}"/>
            </c:ext>
          </c:extLst>
        </c:ser>
        <c:dLbls>
          <c:showLegendKey val="0"/>
          <c:showVal val="0"/>
          <c:showCatName val="0"/>
          <c:showSerName val="0"/>
          <c:showPercent val="0"/>
          <c:showBubbleSize val="0"/>
        </c:dLbls>
        <c:gapWidth val="219"/>
        <c:overlap val="-27"/>
        <c:axId val="1755867743"/>
        <c:axId val="1755868223"/>
      </c:barChart>
      <c:catAx>
        <c:axId val="175586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868223"/>
        <c:crosses val="autoZero"/>
        <c:auto val="1"/>
        <c:lblAlgn val="ctr"/>
        <c:lblOffset val="100"/>
        <c:noMultiLvlLbl val="0"/>
      </c:catAx>
      <c:valAx>
        <c:axId val="175586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86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[Cricket_Statistics_Dashboard.xlsx]Pivot Table3!PivotTable3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Team</a:t>
            </a:r>
            <a:r>
              <a:rPr lang="en-IN" baseline="0"/>
              <a:t> Wise Sixes Distribution</a:t>
            </a:r>
            <a:endParaRPr lang="en-IN"/>
          </a:p>
        </c:rich>
      </c:tx>
      <c:layout>
        <c:manualLayout>
          <c:xMode val="edge"/>
          <c:yMode val="edge"/>
          <c:x val="0.24728702136531999"/>
          <c:y val="0.165253381788814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'Pivot Table3'!$B$3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30-488B-9233-AA7E050FE2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30-488B-9233-AA7E050FE2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30-488B-9233-AA7E050FE2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30-488B-9233-AA7E050FE2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230-488B-9233-AA7E050FE2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Table3'!$A$4:$A$9</c:f>
              <c:strCache>
                <c:ptCount val="5"/>
                <c:pt idx="0">
                  <c:v>CSK</c:v>
                </c:pt>
                <c:pt idx="1">
                  <c:v>KKR</c:v>
                </c:pt>
                <c:pt idx="2">
                  <c:v>MI</c:v>
                </c:pt>
                <c:pt idx="3">
                  <c:v>RCB</c:v>
                </c:pt>
                <c:pt idx="4">
                  <c:v>RR</c:v>
                </c:pt>
              </c:strCache>
            </c:strRef>
          </c:cat>
          <c:val>
            <c:numRef>
              <c:f>'Pivot Table3'!$B$4:$B$9</c:f>
              <c:numCache>
                <c:formatCode>General</c:formatCode>
                <c:ptCount val="5"/>
                <c:pt idx="0">
                  <c:v>47</c:v>
                </c:pt>
                <c:pt idx="1">
                  <c:v>60</c:v>
                </c:pt>
                <c:pt idx="2">
                  <c:v>51</c:v>
                </c:pt>
                <c:pt idx="3">
                  <c:v>62</c:v>
                </c:pt>
                <c:pt idx="4">
                  <c:v>49</c:v>
                </c:pt>
              </c:numCache>
            </c:numRef>
          </c:val>
          <c:extLst>
            <c:ext xmlns:c16="http://schemas.microsoft.com/office/drawing/2014/chart" uri="{C3380CC4-5D6E-409C-BE32-E72D297353CC}">
              <c16:uniqueId val="{0000000A-3230-488B-9233-AA7E050FE2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[Cricket_Statistics_Dashboard.xlsx]Pivot Table5!PivotTable4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a:t>
            </a:r>
            <a:r>
              <a:rPr lang="en-IN" baseline="0"/>
              <a:t> Wise Runs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Table5'!$B$3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Table5'!$A$4:$A$9</c:f>
              <c:strCache>
                <c:ptCount val="5"/>
                <c:pt idx="0">
                  <c:v>Match 1</c:v>
                </c:pt>
                <c:pt idx="1">
                  <c:v>Match 2</c:v>
                </c:pt>
                <c:pt idx="2">
                  <c:v>Match 3</c:v>
                </c:pt>
                <c:pt idx="3">
                  <c:v>Match 4</c:v>
                </c:pt>
                <c:pt idx="4">
                  <c:v>Match 5</c:v>
                </c:pt>
              </c:strCache>
            </c:strRef>
          </c:cat>
          <c:val>
            <c:numRef>
              <c:f>'Pivot Table5'!$B$4:$B$9</c:f>
              <c:numCache>
                <c:formatCode>General</c:formatCode>
                <c:ptCount val="5"/>
                <c:pt idx="0">
                  <c:v>598</c:v>
                </c:pt>
                <c:pt idx="1">
                  <c:v>517</c:v>
                </c:pt>
                <c:pt idx="2">
                  <c:v>678</c:v>
                </c:pt>
                <c:pt idx="3">
                  <c:v>608</c:v>
                </c:pt>
                <c:pt idx="4">
                  <c:v>484</c:v>
                </c:pt>
              </c:numCache>
            </c:numRef>
          </c:val>
          <c:smooth val="0"/>
          <c:extLst>
            <c:ext xmlns:c16="http://schemas.microsoft.com/office/drawing/2014/chart" uri="{C3380CC4-5D6E-409C-BE32-E72D297353CC}">
              <c16:uniqueId val="{00000000-2A14-4833-B6FE-9E81E1B66BD9}"/>
            </c:ext>
          </c:extLst>
        </c:ser>
        <c:dLbls>
          <c:dLblPos val="t"/>
          <c:showLegendKey val="0"/>
          <c:showVal val="1"/>
          <c:showCatName val="0"/>
          <c:showSerName val="0"/>
          <c:showPercent val="0"/>
          <c:showBubbleSize val="0"/>
        </c:dLbls>
        <c:smooth val="0"/>
        <c:axId val="1878782847"/>
        <c:axId val="1878781887"/>
      </c:lineChart>
      <c:catAx>
        <c:axId val="187878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781887"/>
        <c:crosses val="autoZero"/>
        <c:auto val="1"/>
        <c:lblAlgn val="ctr"/>
        <c:lblOffset val="100"/>
        <c:noMultiLvlLbl val="0"/>
      </c:catAx>
      <c:valAx>
        <c:axId val="187878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78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16</xdr:col>
      <xdr:colOff>121920</xdr:colOff>
      <xdr:row>4</xdr:row>
      <xdr:rowOff>106680</xdr:rowOff>
    </xdr:from>
    <xdr:ext cx="184731" cy="264560"/>
    <xdr:sp macro="" textlink="">
      <xdr:nvSpPr>
        <xdr:cNvPr id="10" name="TextBox 9">
          <a:extLst>
            <a:ext uri="{FF2B5EF4-FFF2-40B4-BE49-F238E27FC236}">
              <a16:creationId xmlns:a16="http://schemas.microsoft.com/office/drawing/2014/main" id="{33979B0A-609A-B792-F406-3B4D868DFD49}"/>
            </a:ext>
          </a:extLst>
        </xdr:cNvPr>
        <xdr:cNvSpPr txBox="1"/>
      </xdr:nvSpPr>
      <xdr:spPr>
        <a:xfrm>
          <a:off x="10264140" y="838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11</xdr:col>
      <xdr:colOff>464820</xdr:colOff>
      <xdr:row>4</xdr:row>
      <xdr:rowOff>7620</xdr:rowOff>
    </xdr:from>
    <xdr:ext cx="184731" cy="264560"/>
    <xdr:sp macro="" textlink="">
      <xdr:nvSpPr>
        <xdr:cNvPr id="4" name="TextBox 3">
          <a:extLst>
            <a:ext uri="{FF2B5EF4-FFF2-40B4-BE49-F238E27FC236}">
              <a16:creationId xmlns:a16="http://schemas.microsoft.com/office/drawing/2014/main" id="{997E9C6D-ED6A-5213-233B-CF37F0791FFA}"/>
            </a:ext>
          </a:extLst>
        </xdr:cNvPr>
        <xdr:cNvSpPr txBox="1"/>
      </xdr:nvSpPr>
      <xdr:spPr>
        <a:xfrm>
          <a:off x="7856220" y="739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9753600" cy="441339"/>
    <xdr:sp macro="" textlink="">
      <xdr:nvSpPr>
        <xdr:cNvPr id="2" name="TextBox 1">
          <a:extLst>
            <a:ext uri="{FF2B5EF4-FFF2-40B4-BE49-F238E27FC236}">
              <a16:creationId xmlns:a16="http://schemas.microsoft.com/office/drawing/2014/main" id="{D60FB455-1A31-4CC0-7AF4-63871BC55492}"/>
            </a:ext>
          </a:extLst>
        </xdr:cNvPr>
        <xdr:cNvSpPr txBox="1"/>
      </xdr:nvSpPr>
      <xdr:spPr>
        <a:xfrm flipH="1">
          <a:off x="0" y="0"/>
          <a:ext cx="9753600" cy="441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000" b="1">
              <a:solidFill>
                <a:schemeClr val="accent1"/>
              </a:solidFill>
            </a:rPr>
            <a:t>🏏CRICKET</a:t>
          </a:r>
          <a:r>
            <a:rPr lang="en-IN" sz="2000" b="1" baseline="0">
              <a:solidFill>
                <a:schemeClr val="accent1"/>
              </a:solidFill>
            </a:rPr>
            <a:t> STATISTICS DASHBOARD 🏏</a:t>
          </a:r>
          <a:endParaRPr lang="en-IN" sz="2000" b="1">
            <a:solidFill>
              <a:schemeClr val="accent1"/>
            </a:solidFill>
          </a:endParaRPr>
        </a:p>
      </xdr:txBody>
    </xdr:sp>
    <xdr:clientData/>
  </xdr:oneCellAnchor>
  <xdr:twoCellAnchor editAs="oneCell">
    <xdr:from>
      <xdr:col>14</xdr:col>
      <xdr:colOff>533400</xdr:colOff>
      <xdr:row>0</xdr:row>
      <xdr:rowOff>22860</xdr:rowOff>
    </xdr:from>
    <xdr:to>
      <xdr:col>17</xdr:col>
      <xdr:colOff>7620</xdr:colOff>
      <xdr:row>9</xdr:row>
      <xdr:rowOff>152400</xdr:rowOff>
    </xdr:to>
    <mc:AlternateContent xmlns:mc="http://schemas.openxmlformats.org/markup-compatibility/2006" xmlns:a14="http://schemas.microsoft.com/office/drawing/2010/main">
      <mc:Choice Requires="a14">
        <xdr:graphicFrame macro="">
          <xdr:nvGraphicFramePr>
            <xdr:cNvPr id="5" name="Team 1">
              <a:extLst>
                <a:ext uri="{FF2B5EF4-FFF2-40B4-BE49-F238E27FC236}">
                  <a16:creationId xmlns:a16="http://schemas.microsoft.com/office/drawing/2014/main" id="{2CF2366F-5BF6-46B5-B8BE-4464F4A409F4}"/>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9067800" y="22860"/>
              <a:ext cx="130302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541020</xdr:colOff>
      <xdr:row>9</xdr:row>
      <xdr:rowOff>144780</xdr:rowOff>
    </xdr:from>
    <xdr:to>
      <xdr:col>17</xdr:col>
      <xdr:colOff>0</xdr:colOff>
      <xdr:row>24</xdr:row>
      <xdr:rowOff>15240</xdr:rowOff>
    </xdr:to>
    <mc:AlternateContent xmlns:mc="http://schemas.openxmlformats.org/markup-compatibility/2006" xmlns:a14="http://schemas.microsoft.com/office/drawing/2010/main">
      <mc:Choice Requires="a14">
        <xdr:graphicFrame macro="">
          <xdr:nvGraphicFramePr>
            <xdr:cNvPr id="6" name="Player 1">
              <a:extLst>
                <a:ext uri="{FF2B5EF4-FFF2-40B4-BE49-F238E27FC236}">
                  <a16:creationId xmlns:a16="http://schemas.microsoft.com/office/drawing/2014/main" id="{1D295D29-5BC3-4BE5-A5FB-11E53141EF5F}"/>
                </a:ext>
              </a:extLst>
            </xdr:cNvPr>
            <xdr:cNvGraphicFramePr/>
          </xdr:nvGraphicFramePr>
          <xdr:xfrm>
            <a:off x="0" y="0"/>
            <a:ext cx="0" cy="0"/>
          </xdr:xfrm>
          <a:graphic>
            <a:graphicData uri="http://schemas.microsoft.com/office/drawing/2010/slicer">
              <sle:slicer xmlns:sle="http://schemas.microsoft.com/office/drawing/2010/slicer" name="Player 1"/>
            </a:graphicData>
          </a:graphic>
        </xdr:graphicFrame>
      </mc:Choice>
      <mc:Fallback xmlns="">
        <xdr:sp macro="" textlink="">
          <xdr:nvSpPr>
            <xdr:cNvPr id="0" name=""/>
            <xdr:cNvSpPr>
              <a:spLocks noTextEdit="1"/>
            </xdr:cNvSpPr>
          </xdr:nvSpPr>
          <xdr:spPr>
            <a:xfrm>
              <a:off x="9075420" y="1805940"/>
              <a:ext cx="1287780" cy="2613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541020</xdr:colOff>
      <xdr:row>24</xdr:row>
      <xdr:rowOff>15241</xdr:rowOff>
    </xdr:from>
    <xdr:to>
      <xdr:col>16</xdr:col>
      <xdr:colOff>601980</xdr:colOff>
      <xdr:row>40</xdr:row>
      <xdr:rowOff>7620</xdr:rowOff>
    </xdr:to>
    <mc:AlternateContent xmlns:mc="http://schemas.openxmlformats.org/markup-compatibility/2006" xmlns:a14="http://schemas.microsoft.com/office/drawing/2010/main">
      <mc:Choice Requires="a14">
        <xdr:graphicFrame macro="">
          <xdr:nvGraphicFramePr>
            <xdr:cNvPr id="7" name="Match 1">
              <a:extLst>
                <a:ext uri="{FF2B5EF4-FFF2-40B4-BE49-F238E27FC236}">
                  <a16:creationId xmlns:a16="http://schemas.microsoft.com/office/drawing/2014/main" id="{1DB0AD6A-C275-4BB8-886E-5B53BC7BB429}"/>
                </a:ext>
              </a:extLst>
            </xdr:cNvPr>
            <xdr:cNvGraphicFramePr/>
          </xdr:nvGraphicFramePr>
          <xdr:xfrm>
            <a:off x="0" y="0"/>
            <a:ext cx="0" cy="0"/>
          </xdr:xfrm>
          <a:graphic>
            <a:graphicData uri="http://schemas.microsoft.com/office/drawing/2010/slicer">
              <sle:slicer xmlns:sle="http://schemas.microsoft.com/office/drawing/2010/slicer" name="Match 1"/>
            </a:graphicData>
          </a:graphic>
        </xdr:graphicFrame>
      </mc:Choice>
      <mc:Fallback xmlns="">
        <xdr:sp macro="" textlink="">
          <xdr:nvSpPr>
            <xdr:cNvPr id="0" name=""/>
            <xdr:cNvSpPr>
              <a:spLocks noTextEdit="1"/>
            </xdr:cNvSpPr>
          </xdr:nvSpPr>
          <xdr:spPr>
            <a:xfrm>
              <a:off x="9075420" y="4419601"/>
              <a:ext cx="1280160" cy="2918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175260</xdr:colOff>
      <xdr:row>6</xdr:row>
      <xdr:rowOff>38100</xdr:rowOff>
    </xdr:from>
    <xdr:to>
      <xdr:col>7</xdr:col>
      <xdr:colOff>198120</xdr:colOff>
      <xdr:row>21</xdr:row>
      <xdr:rowOff>129540</xdr:rowOff>
    </xdr:to>
    <xdr:graphicFrame macro="">
      <xdr:nvGraphicFramePr>
        <xdr:cNvPr id="8" name="Chart 7">
          <a:extLst>
            <a:ext uri="{FF2B5EF4-FFF2-40B4-BE49-F238E27FC236}">
              <a16:creationId xmlns:a16="http://schemas.microsoft.com/office/drawing/2014/main" id="{CADCBF0A-557B-4393-9DE6-202C19938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236220</xdr:colOff>
      <xdr:row>6</xdr:row>
      <xdr:rowOff>7620</xdr:rowOff>
    </xdr:from>
    <xdr:to>
      <xdr:col>14</xdr:col>
      <xdr:colOff>525780</xdr:colOff>
      <xdr:row>21</xdr:row>
      <xdr:rowOff>53340</xdr:rowOff>
    </xdr:to>
    <xdr:graphicFrame macro="">
      <xdr:nvGraphicFramePr>
        <xdr:cNvPr id="9" name="Chart 8">
          <a:extLst>
            <a:ext uri="{FF2B5EF4-FFF2-40B4-BE49-F238E27FC236}">
              <a16:creationId xmlns:a16="http://schemas.microsoft.com/office/drawing/2014/main" id="{42661DA5-5A19-43AB-A9F0-AFF740F69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21</xdr:row>
      <xdr:rowOff>114300</xdr:rowOff>
    </xdr:from>
    <xdr:to>
      <xdr:col>7</xdr:col>
      <xdr:colOff>228600</xdr:colOff>
      <xdr:row>35</xdr:row>
      <xdr:rowOff>129540</xdr:rowOff>
    </xdr:to>
    <xdr:graphicFrame macro="">
      <xdr:nvGraphicFramePr>
        <xdr:cNvPr id="10" name="Chart 9">
          <a:extLst>
            <a:ext uri="{FF2B5EF4-FFF2-40B4-BE49-F238E27FC236}">
              <a16:creationId xmlns:a16="http://schemas.microsoft.com/office/drawing/2014/main" id="{082F00B0-2465-4B26-88A7-1E449043B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289560</xdr:colOff>
      <xdr:row>21</xdr:row>
      <xdr:rowOff>60960</xdr:rowOff>
    </xdr:from>
    <xdr:to>
      <xdr:col>14</xdr:col>
      <xdr:colOff>518160</xdr:colOff>
      <xdr:row>35</xdr:row>
      <xdr:rowOff>60960</xdr:rowOff>
    </xdr:to>
    <xdr:graphicFrame macro="">
      <xdr:nvGraphicFramePr>
        <xdr:cNvPr id="11" name="Chart 10">
          <a:extLst>
            <a:ext uri="{FF2B5EF4-FFF2-40B4-BE49-F238E27FC236}">
              <a16:creationId xmlns:a16="http://schemas.microsoft.com/office/drawing/2014/main" id="{BA94F2B9-620B-47EF-B652-738AA6FD7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147037</xdr:colOff>
      <xdr:row>2</xdr:row>
      <xdr:rowOff>106680</xdr:rowOff>
    </xdr:from>
    <xdr:ext cx="184731" cy="280205"/>
    <xdr:sp macro="" textlink="">
      <xdr:nvSpPr>
        <xdr:cNvPr id="16" name="TextBox 15">
          <a:extLst>
            <a:ext uri="{FF2B5EF4-FFF2-40B4-BE49-F238E27FC236}">
              <a16:creationId xmlns:a16="http://schemas.microsoft.com/office/drawing/2014/main" id="{DC4EBFAA-76EF-8F07-6F5F-367C58039BA3}"/>
            </a:ext>
          </a:extLst>
        </xdr:cNvPr>
        <xdr:cNvSpPr txBox="1"/>
      </xdr:nvSpPr>
      <xdr:spPr>
        <a:xfrm>
          <a:off x="756637" y="47244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IN" sz="1200" b="1">
            <a:solidFill>
              <a:schemeClr val="accent1"/>
            </a:solidFill>
          </a:endParaRPr>
        </a:p>
      </xdr:txBody>
    </xdr:sp>
    <xdr:clientData/>
  </xdr:oneCellAnchor>
  <xdr:oneCellAnchor>
    <xdr:from>
      <xdr:col>0</xdr:col>
      <xdr:colOff>99060</xdr:colOff>
      <xdr:row>3</xdr:row>
      <xdr:rowOff>15240</xdr:rowOff>
    </xdr:from>
    <xdr:ext cx="184731" cy="342851"/>
    <xdr:sp macro="" textlink="">
      <xdr:nvSpPr>
        <xdr:cNvPr id="17" name="TextBox 16">
          <a:extLst>
            <a:ext uri="{FF2B5EF4-FFF2-40B4-BE49-F238E27FC236}">
              <a16:creationId xmlns:a16="http://schemas.microsoft.com/office/drawing/2014/main" id="{6B610AFB-BB7A-65D7-85A2-FA3A4413BF8F}"/>
            </a:ext>
          </a:extLst>
        </xdr:cNvPr>
        <xdr:cNvSpPr txBox="1"/>
      </xdr:nvSpPr>
      <xdr:spPr>
        <a:xfrm>
          <a:off x="99060" y="563880"/>
          <a:ext cx="18473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600"/>
        </a:p>
      </xdr:txBody>
    </xdr:sp>
    <xdr:clientData/>
  </xdr:oneCellAnchor>
  <xdr:oneCellAnchor>
    <xdr:from>
      <xdr:col>3</xdr:col>
      <xdr:colOff>281940</xdr:colOff>
      <xdr:row>2</xdr:row>
      <xdr:rowOff>7620</xdr:rowOff>
    </xdr:from>
    <xdr:ext cx="1021080" cy="289560"/>
    <xdr:sp macro="" textlink="">
      <xdr:nvSpPr>
        <xdr:cNvPr id="19" name="TextBox 18">
          <a:extLst>
            <a:ext uri="{FF2B5EF4-FFF2-40B4-BE49-F238E27FC236}">
              <a16:creationId xmlns:a16="http://schemas.microsoft.com/office/drawing/2014/main" id="{89029E25-CE0A-2DC9-1996-20F372973EE5}"/>
            </a:ext>
          </a:extLst>
        </xdr:cNvPr>
        <xdr:cNvSpPr txBox="1"/>
      </xdr:nvSpPr>
      <xdr:spPr>
        <a:xfrm>
          <a:off x="2110740" y="373380"/>
          <a:ext cx="102108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200" b="1"/>
        </a:p>
      </xdr:txBody>
    </xdr:sp>
    <xdr:clientData/>
  </xdr:oneCellAnchor>
  <xdr:oneCellAnchor>
    <xdr:from>
      <xdr:col>3</xdr:col>
      <xdr:colOff>579120</xdr:colOff>
      <xdr:row>4</xdr:row>
      <xdr:rowOff>45720</xdr:rowOff>
    </xdr:from>
    <xdr:ext cx="457626" cy="311496"/>
    <xdr:sp macro="" textlink="Cricket_Data!K13">
      <xdr:nvSpPr>
        <xdr:cNvPr id="20" name="TextBox 19">
          <a:extLst>
            <a:ext uri="{FF2B5EF4-FFF2-40B4-BE49-F238E27FC236}">
              <a16:creationId xmlns:a16="http://schemas.microsoft.com/office/drawing/2014/main" id="{8CA15BE5-5851-7FDB-EF3A-C4DF74B4DD2A}"/>
            </a:ext>
          </a:extLst>
        </xdr:cNvPr>
        <xdr:cNvSpPr txBox="1"/>
      </xdr:nvSpPr>
      <xdr:spPr>
        <a:xfrm>
          <a:off x="2407920" y="777240"/>
          <a:ext cx="45762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8DAD5FC-506C-41E3-9E48-847F1E26340E}" type="TxLink">
            <a:rPr lang="en-US" sz="1400" b="1" i="0" u="none" strike="noStrike" cap="none" spc="0">
              <a:ln>
                <a:noFill/>
              </a:ln>
              <a:solidFill>
                <a:schemeClr val="accent6"/>
              </a:solidFill>
              <a:effectLst/>
              <a:latin typeface="Aptos Narrow"/>
            </a:rPr>
            <a:pPr/>
            <a:t> </a:t>
          </a:fld>
          <a:endParaRPr lang="en-IN" sz="1400" b="1" cap="none" spc="0">
            <a:ln>
              <a:noFill/>
            </a:ln>
            <a:solidFill>
              <a:schemeClr val="accent6"/>
            </a:solidFill>
            <a:effectLst/>
          </a:endParaRPr>
        </a:p>
      </xdr:txBody>
    </xdr:sp>
    <xdr:clientData/>
  </xdr:oneCellAnchor>
  <xdr:oneCellAnchor>
    <xdr:from>
      <xdr:col>3</xdr:col>
      <xdr:colOff>76200</xdr:colOff>
      <xdr:row>3</xdr:row>
      <xdr:rowOff>15240</xdr:rowOff>
    </xdr:from>
    <xdr:ext cx="184731" cy="342851"/>
    <xdr:sp macro="" textlink="">
      <xdr:nvSpPr>
        <xdr:cNvPr id="21" name="TextBox 20">
          <a:extLst>
            <a:ext uri="{FF2B5EF4-FFF2-40B4-BE49-F238E27FC236}">
              <a16:creationId xmlns:a16="http://schemas.microsoft.com/office/drawing/2014/main" id="{F2F929B1-C274-42A1-E25B-17F3F1BD2F8C}"/>
            </a:ext>
          </a:extLst>
        </xdr:cNvPr>
        <xdr:cNvSpPr txBox="1"/>
      </xdr:nvSpPr>
      <xdr:spPr>
        <a:xfrm>
          <a:off x="1905000" y="563880"/>
          <a:ext cx="18473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600"/>
        </a:p>
      </xdr:txBody>
    </xdr:sp>
    <xdr:clientData/>
  </xdr:oneCellAnchor>
  <xdr:twoCellAnchor>
    <xdr:from>
      <xdr:col>0</xdr:col>
      <xdr:colOff>190500</xdr:colOff>
      <xdr:row>1</xdr:row>
      <xdr:rowOff>175260</xdr:rowOff>
    </xdr:from>
    <xdr:to>
      <xdr:col>3</xdr:col>
      <xdr:colOff>525780</xdr:colOff>
      <xdr:row>6</xdr:row>
      <xdr:rowOff>7620</xdr:rowOff>
    </xdr:to>
    <xdr:sp macro="" textlink="">
      <xdr:nvSpPr>
        <xdr:cNvPr id="22" name="Rectangle: Rounded Corners 21">
          <a:extLst>
            <a:ext uri="{FF2B5EF4-FFF2-40B4-BE49-F238E27FC236}">
              <a16:creationId xmlns:a16="http://schemas.microsoft.com/office/drawing/2014/main" id="{3AFC28B0-D0B5-228E-00FD-761309D07103}"/>
            </a:ext>
          </a:extLst>
        </xdr:cNvPr>
        <xdr:cNvSpPr/>
      </xdr:nvSpPr>
      <xdr:spPr>
        <a:xfrm>
          <a:off x="190500" y="358140"/>
          <a:ext cx="2164080" cy="7620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7620</xdr:colOff>
      <xdr:row>2</xdr:row>
      <xdr:rowOff>0</xdr:rowOff>
    </xdr:from>
    <xdr:to>
      <xdr:col>7</xdr:col>
      <xdr:colOff>342900</xdr:colOff>
      <xdr:row>6</xdr:row>
      <xdr:rowOff>15240</xdr:rowOff>
    </xdr:to>
    <xdr:sp macro="" textlink="">
      <xdr:nvSpPr>
        <xdr:cNvPr id="23" name="Rectangle: Rounded Corners 22">
          <a:extLst>
            <a:ext uri="{FF2B5EF4-FFF2-40B4-BE49-F238E27FC236}">
              <a16:creationId xmlns:a16="http://schemas.microsoft.com/office/drawing/2014/main" id="{44F8A40D-AF21-48BB-8C58-0F96640524E6}"/>
            </a:ext>
          </a:extLst>
        </xdr:cNvPr>
        <xdr:cNvSpPr/>
      </xdr:nvSpPr>
      <xdr:spPr>
        <a:xfrm>
          <a:off x="2446020" y="365760"/>
          <a:ext cx="2164080" cy="7620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480060</xdr:colOff>
      <xdr:row>1</xdr:row>
      <xdr:rowOff>175260</xdr:rowOff>
    </xdr:from>
    <xdr:to>
      <xdr:col>11</xdr:col>
      <xdr:colOff>144780</xdr:colOff>
      <xdr:row>6</xdr:row>
      <xdr:rowOff>7620</xdr:rowOff>
    </xdr:to>
    <xdr:sp macro="" textlink="">
      <xdr:nvSpPr>
        <xdr:cNvPr id="24" name="Rectangle: Rounded Corners 23">
          <a:extLst>
            <a:ext uri="{FF2B5EF4-FFF2-40B4-BE49-F238E27FC236}">
              <a16:creationId xmlns:a16="http://schemas.microsoft.com/office/drawing/2014/main" id="{9A21139E-E555-419E-B15C-7850055B8415}"/>
            </a:ext>
          </a:extLst>
        </xdr:cNvPr>
        <xdr:cNvSpPr/>
      </xdr:nvSpPr>
      <xdr:spPr>
        <a:xfrm>
          <a:off x="4747260" y="358140"/>
          <a:ext cx="2103120" cy="762000"/>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259080</xdr:colOff>
      <xdr:row>1</xdr:row>
      <xdr:rowOff>160020</xdr:rowOff>
    </xdr:from>
    <xdr:to>
      <xdr:col>14</xdr:col>
      <xdr:colOff>571500</xdr:colOff>
      <xdr:row>5</xdr:row>
      <xdr:rowOff>175260</xdr:rowOff>
    </xdr:to>
    <xdr:sp macro="" textlink="">
      <xdr:nvSpPr>
        <xdr:cNvPr id="25" name="Rectangle: Rounded Corners 24">
          <a:extLst>
            <a:ext uri="{FF2B5EF4-FFF2-40B4-BE49-F238E27FC236}">
              <a16:creationId xmlns:a16="http://schemas.microsoft.com/office/drawing/2014/main" id="{8C624C04-77D2-4859-BE8E-602749F32930}"/>
            </a:ext>
          </a:extLst>
        </xdr:cNvPr>
        <xdr:cNvSpPr/>
      </xdr:nvSpPr>
      <xdr:spPr>
        <a:xfrm>
          <a:off x="6964680" y="342900"/>
          <a:ext cx="2141220" cy="7620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167640</xdr:colOff>
      <xdr:row>2</xdr:row>
      <xdr:rowOff>129540</xdr:rowOff>
    </xdr:from>
    <xdr:to>
      <xdr:col>1</xdr:col>
      <xdr:colOff>106728</xdr:colOff>
      <xdr:row>5</xdr:row>
      <xdr:rowOff>35093</xdr:rowOff>
    </xdr:to>
    <xdr:pic>
      <xdr:nvPicPr>
        <xdr:cNvPr id="27" name="Picture 26">
          <a:extLst>
            <a:ext uri="{FF2B5EF4-FFF2-40B4-BE49-F238E27FC236}">
              <a16:creationId xmlns:a16="http://schemas.microsoft.com/office/drawing/2014/main" id="{B8418DCC-003E-6A68-2DE4-13300E59ED2A}"/>
            </a:ext>
          </a:extLst>
        </xdr:cNvPr>
        <xdr:cNvPicPr>
          <a:picLocks noChangeAspect="1"/>
        </xdr:cNvPicPr>
      </xdr:nvPicPr>
      <xdr:blipFill>
        <a:blip xmlns:r="http://schemas.openxmlformats.org/officeDocument/2006/relationships" r:embed="rId5"/>
        <a:stretch>
          <a:fillRect/>
        </a:stretch>
      </xdr:blipFill>
      <xdr:spPr>
        <a:xfrm>
          <a:off x="167640" y="495300"/>
          <a:ext cx="548688" cy="469433"/>
        </a:xfrm>
        <a:prstGeom prst="rect">
          <a:avLst/>
        </a:prstGeom>
      </xdr:spPr>
    </xdr:pic>
    <xdr:clientData/>
  </xdr:twoCellAnchor>
  <xdr:twoCellAnchor editAs="oneCell">
    <xdr:from>
      <xdr:col>1</xdr:col>
      <xdr:colOff>91440</xdr:colOff>
      <xdr:row>2</xdr:row>
      <xdr:rowOff>22860</xdr:rowOff>
    </xdr:from>
    <xdr:to>
      <xdr:col>2</xdr:col>
      <xdr:colOff>335354</xdr:colOff>
      <xdr:row>3</xdr:row>
      <xdr:rowOff>169193</xdr:rowOff>
    </xdr:to>
    <xdr:pic>
      <xdr:nvPicPr>
        <xdr:cNvPr id="28" name="Picture 27">
          <a:extLst>
            <a:ext uri="{FF2B5EF4-FFF2-40B4-BE49-F238E27FC236}">
              <a16:creationId xmlns:a16="http://schemas.microsoft.com/office/drawing/2014/main" id="{5B8ED7E5-0113-02F6-DF7D-4A891E5DEF8E}"/>
            </a:ext>
          </a:extLst>
        </xdr:cNvPr>
        <xdr:cNvPicPr>
          <a:picLocks noChangeAspect="1"/>
        </xdr:cNvPicPr>
      </xdr:nvPicPr>
      <xdr:blipFill>
        <a:blip xmlns:r="http://schemas.openxmlformats.org/officeDocument/2006/relationships" r:embed="rId6"/>
        <a:stretch>
          <a:fillRect/>
        </a:stretch>
      </xdr:blipFill>
      <xdr:spPr>
        <a:xfrm>
          <a:off x="701040" y="388620"/>
          <a:ext cx="853514" cy="329213"/>
        </a:xfrm>
        <a:prstGeom prst="rect">
          <a:avLst/>
        </a:prstGeom>
      </xdr:spPr>
    </xdr:pic>
    <xdr:clientData/>
  </xdr:twoCellAnchor>
  <xdr:oneCellAnchor>
    <xdr:from>
      <xdr:col>1</xdr:col>
      <xdr:colOff>220980</xdr:colOff>
      <xdr:row>4</xdr:row>
      <xdr:rowOff>0</xdr:rowOff>
    </xdr:from>
    <xdr:ext cx="493502" cy="280205"/>
    <xdr:sp macro="" textlink="Cricket_Data!J7">
      <xdr:nvSpPr>
        <xdr:cNvPr id="29" name="TextBox 28">
          <a:extLst>
            <a:ext uri="{FF2B5EF4-FFF2-40B4-BE49-F238E27FC236}">
              <a16:creationId xmlns:a16="http://schemas.microsoft.com/office/drawing/2014/main" id="{AE66B1FF-BC8C-4362-A28D-AF5896C8A79B}"/>
            </a:ext>
          </a:extLst>
        </xdr:cNvPr>
        <xdr:cNvSpPr txBox="1"/>
      </xdr:nvSpPr>
      <xdr:spPr>
        <a:xfrm>
          <a:off x="830580" y="731520"/>
          <a:ext cx="49350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FDF6964-D18B-4B31-B29B-C6E17BD4B879}" type="TxLink">
            <a:rPr lang="en-US" sz="1200" b="1" i="0" u="none" strike="noStrike">
              <a:solidFill>
                <a:schemeClr val="accent1"/>
              </a:solidFill>
              <a:latin typeface="Aptos Narrow"/>
            </a:rPr>
            <a:pPr/>
            <a:t> </a:t>
          </a:fld>
          <a:endParaRPr lang="en-IN" sz="1200" b="1">
            <a:solidFill>
              <a:schemeClr val="accent1"/>
            </a:solidFill>
          </a:endParaRPr>
        </a:p>
      </xdr:txBody>
    </xdr:sp>
    <xdr:clientData/>
  </xdr:oneCellAnchor>
  <xdr:twoCellAnchor editAs="oneCell">
    <xdr:from>
      <xdr:col>4</xdr:col>
      <xdr:colOff>601980</xdr:colOff>
      <xdr:row>2</xdr:row>
      <xdr:rowOff>30480</xdr:rowOff>
    </xdr:from>
    <xdr:to>
      <xdr:col>6</xdr:col>
      <xdr:colOff>254584</xdr:colOff>
      <xdr:row>3</xdr:row>
      <xdr:rowOff>176813</xdr:rowOff>
    </xdr:to>
    <xdr:pic>
      <xdr:nvPicPr>
        <xdr:cNvPr id="30" name="Picture 29">
          <a:extLst>
            <a:ext uri="{FF2B5EF4-FFF2-40B4-BE49-F238E27FC236}">
              <a16:creationId xmlns:a16="http://schemas.microsoft.com/office/drawing/2014/main" id="{8FFCFDC4-A106-7752-73D4-0A71A261E304}"/>
            </a:ext>
          </a:extLst>
        </xdr:cNvPr>
        <xdr:cNvPicPr>
          <a:picLocks noChangeAspect="1"/>
        </xdr:cNvPicPr>
      </xdr:nvPicPr>
      <xdr:blipFill>
        <a:blip xmlns:r="http://schemas.openxmlformats.org/officeDocument/2006/relationships" r:embed="rId7"/>
        <a:stretch>
          <a:fillRect/>
        </a:stretch>
      </xdr:blipFill>
      <xdr:spPr>
        <a:xfrm>
          <a:off x="3040380" y="396240"/>
          <a:ext cx="871804" cy="329213"/>
        </a:xfrm>
        <a:prstGeom prst="rect">
          <a:avLst/>
        </a:prstGeom>
      </xdr:spPr>
    </xdr:pic>
    <xdr:clientData/>
  </xdr:twoCellAnchor>
  <xdr:twoCellAnchor editAs="oneCell">
    <xdr:from>
      <xdr:col>4</xdr:col>
      <xdr:colOff>38100</xdr:colOff>
      <xdr:row>2</xdr:row>
      <xdr:rowOff>121920</xdr:rowOff>
    </xdr:from>
    <xdr:to>
      <xdr:col>4</xdr:col>
      <xdr:colOff>586788</xdr:colOff>
      <xdr:row>5</xdr:row>
      <xdr:rowOff>27473</xdr:rowOff>
    </xdr:to>
    <xdr:pic>
      <xdr:nvPicPr>
        <xdr:cNvPr id="31" name="Picture 30">
          <a:extLst>
            <a:ext uri="{FF2B5EF4-FFF2-40B4-BE49-F238E27FC236}">
              <a16:creationId xmlns:a16="http://schemas.microsoft.com/office/drawing/2014/main" id="{732CE600-C985-18DA-8A92-2BE1B7838379}"/>
            </a:ext>
          </a:extLst>
        </xdr:cNvPr>
        <xdr:cNvPicPr>
          <a:picLocks noChangeAspect="1"/>
        </xdr:cNvPicPr>
      </xdr:nvPicPr>
      <xdr:blipFill>
        <a:blip xmlns:r="http://schemas.openxmlformats.org/officeDocument/2006/relationships" r:embed="rId8"/>
        <a:stretch>
          <a:fillRect/>
        </a:stretch>
      </xdr:blipFill>
      <xdr:spPr>
        <a:xfrm>
          <a:off x="2476500" y="487680"/>
          <a:ext cx="548688" cy="469433"/>
        </a:xfrm>
        <a:prstGeom prst="rect">
          <a:avLst/>
        </a:prstGeom>
      </xdr:spPr>
    </xdr:pic>
    <xdr:clientData/>
  </xdr:twoCellAnchor>
  <xdr:oneCellAnchor>
    <xdr:from>
      <xdr:col>5</xdr:col>
      <xdr:colOff>160020</xdr:colOff>
      <xdr:row>3</xdr:row>
      <xdr:rowOff>175260</xdr:rowOff>
    </xdr:from>
    <xdr:ext cx="418576" cy="280205"/>
    <xdr:sp macro="" textlink="Cricket_Data!K13">
      <xdr:nvSpPr>
        <xdr:cNvPr id="32" name="TextBox 31">
          <a:extLst>
            <a:ext uri="{FF2B5EF4-FFF2-40B4-BE49-F238E27FC236}">
              <a16:creationId xmlns:a16="http://schemas.microsoft.com/office/drawing/2014/main" id="{21A8C2FC-F003-4D0B-9A33-883ADAD70FAC}"/>
            </a:ext>
          </a:extLst>
        </xdr:cNvPr>
        <xdr:cNvSpPr txBox="1"/>
      </xdr:nvSpPr>
      <xdr:spPr>
        <a:xfrm>
          <a:off x="3208020" y="723900"/>
          <a:ext cx="41857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8DAD5FC-506C-41E3-9E48-847F1E26340E}" type="TxLink">
            <a:rPr lang="en-US" sz="1200" b="1" i="0" u="none" strike="noStrike" cap="none" spc="0">
              <a:ln>
                <a:noFill/>
              </a:ln>
              <a:solidFill>
                <a:schemeClr val="accent6"/>
              </a:solidFill>
              <a:effectLst/>
              <a:latin typeface="Aptos Narrow"/>
            </a:rPr>
            <a:pPr/>
            <a:t> </a:t>
          </a:fld>
          <a:endParaRPr lang="en-IN" sz="1200" b="1" cap="none" spc="0">
            <a:ln>
              <a:noFill/>
            </a:ln>
            <a:solidFill>
              <a:schemeClr val="accent6"/>
            </a:solidFill>
            <a:effectLst/>
          </a:endParaRPr>
        </a:p>
      </xdr:txBody>
    </xdr:sp>
    <xdr:clientData/>
  </xdr:oneCellAnchor>
  <xdr:oneCellAnchor>
    <xdr:from>
      <xdr:col>8</xdr:col>
      <xdr:colOff>472440</xdr:colOff>
      <xdr:row>2</xdr:row>
      <xdr:rowOff>45720</xdr:rowOff>
    </xdr:from>
    <xdr:ext cx="862737" cy="280205"/>
    <xdr:sp macro="" textlink="">
      <xdr:nvSpPr>
        <xdr:cNvPr id="33" name="TextBox 32">
          <a:extLst>
            <a:ext uri="{FF2B5EF4-FFF2-40B4-BE49-F238E27FC236}">
              <a16:creationId xmlns:a16="http://schemas.microsoft.com/office/drawing/2014/main" id="{EDC08586-6674-A7FC-D46F-D5BBDBC59159}"/>
            </a:ext>
          </a:extLst>
        </xdr:cNvPr>
        <xdr:cNvSpPr txBox="1"/>
      </xdr:nvSpPr>
      <xdr:spPr>
        <a:xfrm>
          <a:off x="5349240" y="411480"/>
          <a:ext cx="86273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Top Scorer</a:t>
          </a:r>
        </a:p>
      </xdr:txBody>
    </xdr:sp>
    <xdr:clientData/>
  </xdr:oneCellAnchor>
  <xdr:oneCellAnchor>
    <xdr:from>
      <xdr:col>8</xdr:col>
      <xdr:colOff>7620</xdr:colOff>
      <xdr:row>3</xdr:row>
      <xdr:rowOff>7620</xdr:rowOff>
    </xdr:from>
    <xdr:ext cx="423588" cy="336631"/>
    <xdr:sp macro="" textlink="">
      <xdr:nvSpPr>
        <xdr:cNvPr id="34" name="TextBox 33">
          <a:extLst>
            <a:ext uri="{FF2B5EF4-FFF2-40B4-BE49-F238E27FC236}">
              <a16:creationId xmlns:a16="http://schemas.microsoft.com/office/drawing/2014/main" id="{99D56BB8-7BA4-AAF6-DBEA-C8E8BBFC35E5}"/>
            </a:ext>
          </a:extLst>
        </xdr:cNvPr>
        <xdr:cNvSpPr txBox="1"/>
      </xdr:nvSpPr>
      <xdr:spPr>
        <a:xfrm>
          <a:off x="4884420" y="556260"/>
          <a:ext cx="423588" cy="336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a:t>🏆</a:t>
          </a:r>
        </a:p>
      </xdr:txBody>
    </xdr:sp>
    <xdr:clientData/>
  </xdr:oneCellAnchor>
  <xdr:oneCellAnchor>
    <xdr:from>
      <xdr:col>8</xdr:col>
      <xdr:colOff>320040</xdr:colOff>
      <xdr:row>3</xdr:row>
      <xdr:rowOff>152400</xdr:rowOff>
    </xdr:from>
    <xdr:ext cx="1228991" cy="280205"/>
    <xdr:sp macro="" textlink="">
      <xdr:nvSpPr>
        <xdr:cNvPr id="35" name="TextBox 34">
          <a:extLst>
            <a:ext uri="{FF2B5EF4-FFF2-40B4-BE49-F238E27FC236}">
              <a16:creationId xmlns:a16="http://schemas.microsoft.com/office/drawing/2014/main" id="{B9E79CA1-E397-35A3-7B47-3129DD7506D7}"/>
            </a:ext>
          </a:extLst>
        </xdr:cNvPr>
        <xdr:cNvSpPr txBox="1"/>
      </xdr:nvSpPr>
      <xdr:spPr>
        <a:xfrm>
          <a:off x="5196840" y="701040"/>
          <a:ext cx="122899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accent2"/>
              </a:solidFill>
            </a:rPr>
            <a:t>Ruturaj</a:t>
          </a:r>
          <a:r>
            <a:rPr lang="en-IN" sz="1200" b="1" baseline="0">
              <a:solidFill>
                <a:schemeClr val="accent2"/>
              </a:solidFill>
            </a:rPr>
            <a:t> Gaikwad</a:t>
          </a:r>
          <a:endParaRPr lang="en-IN" sz="1200" b="1">
            <a:solidFill>
              <a:schemeClr val="accent2"/>
            </a:solidFill>
          </a:endParaRPr>
        </a:p>
      </xdr:txBody>
    </xdr:sp>
    <xdr:clientData/>
  </xdr:oneCellAnchor>
  <xdr:oneCellAnchor>
    <xdr:from>
      <xdr:col>12</xdr:col>
      <xdr:colOff>114300</xdr:colOff>
      <xdr:row>2</xdr:row>
      <xdr:rowOff>60960</xdr:rowOff>
    </xdr:from>
    <xdr:ext cx="1394741" cy="280205"/>
    <xdr:sp macro="" textlink="">
      <xdr:nvSpPr>
        <xdr:cNvPr id="36" name="TextBox 35">
          <a:extLst>
            <a:ext uri="{FF2B5EF4-FFF2-40B4-BE49-F238E27FC236}">
              <a16:creationId xmlns:a16="http://schemas.microsoft.com/office/drawing/2014/main" id="{DCF3011A-DCFA-5D4C-E751-15A98E02A55E}"/>
            </a:ext>
          </a:extLst>
        </xdr:cNvPr>
        <xdr:cNvSpPr txBox="1"/>
      </xdr:nvSpPr>
      <xdr:spPr>
        <a:xfrm>
          <a:off x="7429500" y="426720"/>
          <a:ext cx="139474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Highest Strike</a:t>
          </a:r>
          <a:r>
            <a:rPr lang="en-IN" sz="1200" b="1" baseline="0"/>
            <a:t> Rate</a:t>
          </a:r>
          <a:endParaRPr lang="en-IN" sz="1200" b="1"/>
        </a:p>
      </xdr:txBody>
    </xdr:sp>
    <xdr:clientData/>
  </xdr:oneCellAnchor>
  <xdr:oneCellAnchor>
    <xdr:from>
      <xdr:col>11</xdr:col>
      <xdr:colOff>365760</xdr:colOff>
      <xdr:row>2</xdr:row>
      <xdr:rowOff>167640</xdr:rowOff>
    </xdr:from>
    <xdr:ext cx="431208" cy="336631"/>
    <xdr:sp macro="" textlink="">
      <xdr:nvSpPr>
        <xdr:cNvPr id="37" name="TextBox 36">
          <a:extLst>
            <a:ext uri="{FF2B5EF4-FFF2-40B4-BE49-F238E27FC236}">
              <a16:creationId xmlns:a16="http://schemas.microsoft.com/office/drawing/2014/main" id="{B7DA3FFA-65F2-8F7C-6A71-4325C839AF25}"/>
            </a:ext>
          </a:extLst>
        </xdr:cNvPr>
        <xdr:cNvSpPr txBox="1"/>
      </xdr:nvSpPr>
      <xdr:spPr>
        <a:xfrm>
          <a:off x="7071360" y="533400"/>
          <a:ext cx="431208" cy="336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t>📈</a:t>
          </a:r>
        </a:p>
      </xdr:txBody>
    </xdr:sp>
    <xdr:clientData/>
  </xdr:oneCellAnchor>
  <xdr:oneCellAnchor>
    <xdr:from>
      <xdr:col>12</xdr:col>
      <xdr:colOff>502920</xdr:colOff>
      <xdr:row>3</xdr:row>
      <xdr:rowOff>144780</xdr:rowOff>
    </xdr:from>
    <xdr:ext cx="418576" cy="280205"/>
    <xdr:sp macro="" textlink="Cricket_Data!L13">
      <xdr:nvSpPr>
        <xdr:cNvPr id="38" name="TextBox 37">
          <a:extLst>
            <a:ext uri="{FF2B5EF4-FFF2-40B4-BE49-F238E27FC236}">
              <a16:creationId xmlns:a16="http://schemas.microsoft.com/office/drawing/2014/main" id="{76194D9D-B046-E609-567F-6B8147906324}"/>
            </a:ext>
          </a:extLst>
        </xdr:cNvPr>
        <xdr:cNvSpPr txBox="1"/>
      </xdr:nvSpPr>
      <xdr:spPr>
        <a:xfrm>
          <a:off x="7818120" y="693420"/>
          <a:ext cx="41857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80DAE27-0A56-41D0-AA3D-40E95A547DB0}" type="TxLink">
            <a:rPr lang="en-US" sz="1200" b="0" i="0" u="none" strike="noStrike">
              <a:solidFill>
                <a:schemeClr val="accent5"/>
              </a:solidFill>
              <a:latin typeface="Aptos Narrow"/>
            </a:rPr>
            <a:pPr/>
            <a:t> </a:t>
          </a:fld>
          <a:endParaRPr lang="en-IN" sz="1200">
            <a:solidFill>
              <a:schemeClr val="accent5"/>
            </a:solidFill>
          </a:endParaRPr>
        </a:p>
      </xdr:txBody>
    </xdr:sp>
    <xdr:clientData/>
  </xdr:oneCellAnchor>
  <xdr:oneCellAnchor>
    <xdr:from>
      <xdr:col>1</xdr:col>
      <xdr:colOff>228600</xdr:colOff>
      <xdr:row>3</xdr:row>
      <xdr:rowOff>137160</xdr:rowOff>
    </xdr:from>
    <xdr:ext cx="496546" cy="280205"/>
    <xdr:sp macro="" textlink="Cricket_Data!I2">
      <xdr:nvSpPr>
        <xdr:cNvPr id="39" name="TextBox 38">
          <a:extLst>
            <a:ext uri="{FF2B5EF4-FFF2-40B4-BE49-F238E27FC236}">
              <a16:creationId xmlns:a16="http://schemas.microsoft.com/office/drawing/2014/main" id="{228B05C1-E383-DB7E-B2B1-FC2EADC053E0}"/>
            </a:ext>
          </a:extLst>
        </xdr:cNvPr>
        <xdr:cNvSpPr txBox="1"/>
      </xdr:nvSpPr>
      <xdr:spPr>
        <a:xfrm>
          <a:off x="838200" y="685800"/>
          <a:ext cx="49654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B9FD664-9A41-49B9-8EAC-975F7CEEABE7}" type="TxLink">
            <a:rPr lang="en-US" sz="1200" b="0" i="0" u="none" strike="noStrike">
              <a:solidFill>
                <a:schemeClr val="tx2">
                  <a:lumMod val="75000"/>
                  <a:lumOff val="25000"/>
                </a:schemeClr>
              </a:solidFill>
              <a:latin typeface="Aptos Narrow"/>
            </a:rPr>
            <a:pPr/>
            <a:t>5831</a:t>
          </a:fld>
          <a:endParaRPr lang="en-IN" sz="1200">
            <a:solidFill>
              <a:schemeClr val="tx2">
                <a:lumMod val="75000"/>
                <a:lumOff val="25000"/>
              </a:schemeClr>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k" refreshedDate="46179.792459953707" createdVersion="8" refreshedVersion="8" minRefreshableVersion="3" recordCount="100" xr:uid="{EB5E16DC-CFE9-4C00-B673-D54CE6EAEE18}">
  <cacheSource type="worksheet">
    <worksheetSource name="Table1"/>
  </cacheSource>
  <cacheFields count="8">
    <cacheField name="Player" numFmtId="0">
      <sharedItems count="10">
        <s v="Virat Kohli"/>
        <s v="Rajat Patidar"/>
        <s v="Rohit Sharma"/>
        <s v="Suryakumar Yadav"/>
        <s v="MS Dhoni"/>
        <s v="Ruturaj Gaikwad"/>
        <s v="Shreyas Iyer"/>
        <s v="Andre Russell"/>
        <s v="Sanju Samson"/>
        <s v="Yashasvi Jaiswal"/>
      </sharedItems>
    </cacheField>
    <cacheField name="Team" numFmtId="0">
      <sharedItems count="5">
        <s v="RCB"/>
        <s v="MI"/>
        <s v="CSK"/>
        <s v="KKR"/>
        <s v="RR"/>
      </sharedItems>
    </cacheField>
    <cacheField name="Match" numFmtId="0">
      <sharedItems count="10">
        <s v="Match 1"/>
        <s v="Match 2"/>
        <s v="Match 3"/>
        <s v="Match 4"/>
        <s v="Match 5"/>
        <s v="Match 6"/>
        <s v="Match 7"/>
        <s v="Match 8"/>
        <s v="Match 9"/>
        <s v="Match 10"/>
      </sharedItems>
    </cacheField>
    <cacheField name="Runs" numFmtId="0">
      <sharedItems containsSemiMixedTypes="0" containsString="0" containsNumber="1" containsInteger="1" minValue="24" maxValue="100"/>
    </cacheField>
    <cacheField name="Balls" numFmtId="0">
      <sharedItems containsSemiMixedTypes="0" containsString="0" containsNumber="1" containsInteger="1" minValue="15" maxValue="98"/>
    </cacheField>
    <cacheField name="Fours" numFmtId="0">
      <sharedItems containsSemiMixedTypes="0" containsString="0" containsNumber="1" containsInteger="1" minValue="1" maxValue="12"/>
    </cacheField>
    <cacheField name="Sixes" numFmtId="0">
      <sharedItems containsSemiMixedTypes="0" containsString="0" containsNumber="1" containsInteger="1" minValue="0" maxValue="6"/>
    </cacheField>
    <cacheField name="Strike Rate" numFmtId="2">
      <sharedItems containsSemiMixedTypes="0" containsString="0" containsNumber="1" minValue="72.222222222222214" maxValue="290"/>
    </cacheField>
  </cacheFields>
  <extLst>
    <ext xmlns:x14="http://schemas.microsoft.com/office/spreadsheetml/2009/9/main" uri="{725AE2AE-9491-48be-B2B4-4EB974FC3084}">
      <x14:pivotCacheDefinition pivotCacheId="8072840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34"/>
    <n v="15"/>
    <n v="5"/>
    <n v="1"/>
    <n v="226.66666666666666"/>
  </r>
  <r>
    <x v="1"/>
    <x v="0"/>
    <x v="0"/>
    <n v="48"/>
    <n v="24"/>
    <n v="12"/>
    <n v="0"/>
    <n v="200"/>
  </r>
  <r>
    <x v="2"/>
    <x v="1"/>
    <x v="0"/>
    <n v="89"/>
    <n v="40"/>
    <n v="10"/>
    <n v="3"/>
    <n v="222.5"/>
  </r>
  <r>
    <x v="3"/>
    <x v="1"/>
    <x v="0"/>
    <n v="24"/>
    <n v="15"/>
    <n v="1"/>
    <n v="1"/>
    <n v="160"/>
  </r>
  <r>
    <x v="4"/>
    <x v="2"/>
    <x v="0"/>
    <n v="49"/>
    <n v="48"/>
    <n v="10"/>
    <n v="0"/>
    <n v="102.08333333333333"/>
  </r>
  <r>
    <x v="5"/>
    <x v="2"/>
    <x v="0"/>
    <n v="91"/>
    <n v="55"/>
    <n v="12"/>
    <n v="5"/>
    <n v="165.45454545454547"/>
  </r>
  <r>
    <x v="6"/>
    <x v="3"/>
    <x v="0"/>
    <n v="89"/>
    <n v="82"/>
    <n v="4"/>
    <n v="3"/>
    <n v="108.53658536585367"/>
  </r>
  <r>
    <x v="7"/>
    <x v="3"/>
    <x v="0"/>
    <n v="95"/>
    <n v="66"/>
    <n v="1"/>
    <n v="6"/>
    <n v="143.93939393939394"/>
  </r>
  <r>
    <x v="8"/>
    <x v="4"/>
    <x v="0"/>
    <n v="40"/>
    <n v="42"/>
    <n v="6"/>
    <n v="2"/>
    <n v="95.238095238095227"/>
  </r>
  <r>
    <x v="9"/>
    <x v="4"/>
    <x v="0"/>
    <n v="39"/>
    <n v="28"/>
    <n v="6"/>
    <n v="0"/>
    <n v="139.28571428571428"/>
  </r>
  <r>
    <x v="0"/>
    <x v="0"/>
    <x v="1"/>
    <n v="31"/>
    <n v="27"/>
    <n v="1"/>
    <n v="2"/>
    <n v="114.81481481481481"/>
  </r>
  <r>
    <x v="1"/>
    <x v="0"/>
    <x v="1"/>
    <n v="64"/>
    <n v="59"/>
    <n v="5"/>
    <n v="6"/>
    <n v="108.47457627118644"/>
  </r>
  <r>
    <x v="2"/>
    <x v="1"/>
    <x v="1"/>
    <n v="25"/>
    <n v="29"/>
    <n v="5"/>
    <n v="0"/>
    <n v="86.206896551724128"/>
  </r>
  <r>
    <x v="3"/>
    <x v="1"/>
    <x v="1"/>
    <n v="68"/>
    <n v="27"/>
    <n v="9"/>
    <n v="2"/>
    <n v="251.85185185185185"/>
  </r>
  <r>
    <x v="4"/>
    <x v="2"/>
    <x v="1"/>
    <n v="100"/>
    <n v="79"/>
    <n v="10"/>
    <n v="1"/>
    <n v="126.58227848101266"/>
  </r>
  <r>
    <x v="5"/>
    <x v="2"/>
    <x v="1"/>
    <n v="28"/>
    <n v="16"/>
    <n v="6"/>
    <n v="1"/>
    <n v="175"/>
  </r>
  <r>
    <x v="6"/>
    <x v="3"/>
    <x v="1"/>
    <n v="57"/>
    <n v="24"/>
    <n v="4"/>
    <n v="6"/>
    <n v="237.5"/>
  </r>
  <r>
    <x v="7"/>
    <x v="3"/>
    <x v="1"/>
    <n v="32"/>
    <n v="27"/>
    <n v="5"/>
    <n v="3"/>
    <n v="118.5185185185185"/>
  </r>
  <r>
    <x v="8"/>
    <x v="4"/>
    <x v="1"/>
    <n v="66"/>
    <n v="32"/>
    <n v="6"/>
    <n v="2"/>
    <n v="206.25"/>
  </r>
  <r>
    <x v="9"/>
    <x v="4"/>
    <x v="1"/>
    <n v="46"/>
    <n v="32"/>
    <n v="11"/>
    <n v="5"/>
    <n v="143.75"/>
  </r>
  <r>
    <x v="0"/>
    <x v="0"/>
    <x v="2"/>
    <n v="29"/>
    <n v="34"/>
    <n v="6"/>
    <n v="1"/>
    <n v="85.294117647058826"/>
  </r>
  <r>
    <x v="1"/>
    <x v="0"/>
    <x v="2"/>
    <n v="88"/>
    <n v="60"/>
    <n v="3"/>
    <n v="3"/>
    <n v="146.66666666666666"/>
  </r>
  <r>
    <x v="2"/>
    <x v="1"/>
    <x v="2"/>
    <n v="68"/>
    <n v="39"/>
    <n v="11"/>
    <n v="5"/>
    <n v="174.35897435897436"/>
  </r>
  <r>
    <x v="3"/>
    <x v="1"/>
    <x v="2"/>
    <n v="91"/>
    <n v="58"/>
    <n v="11"/>
    <n v="2"/>
    <n v="156.89655172413794"/>
  </r>
  <r>
    <x v="4"/>
    <x v="2"/>
    <x v="2"/>
    <n v="27"/>
    <n v="22"/>
    <n v="1"/>
    <n v="2"/>
    <n v="122.72727272727273"/>
  </r>
  <r>
    <x v="5"/>
    <x v="2"/>
    <x v="2"/>
    <n v="71"/>
    <n v="40"/>
    <n v="2"/>
    <n v="1"/>
    <n v="177.5"/>
  </r>
  <r>
    <x v="6"/>
    <x v="3"/>
    <x v="2"/>
    <n v="92"/>
    <n v="70"/>
    <n v="4"/>
    <n v="5"/>
    <n v="131.42857142857142"/>
  </r>
  <r>
    <x v="7"/>
    <x v="3"/>
    <x v="2"/>
    <n v="83"/>
    <n v="77"/>
    <n v="11"/>
    <n v="3"/>
    <n v="107.79220779220779"/>
  </r>
  <r>
    <x v="8"/>
    <x v="4"/>
    <x v="2"/>
    <n v="38"/>
    <n v="31"/>
    <n v="3"/>
    <n v="1"/>
    <n v="122.58064516129032"/>
  </r>
  <r>
    <x v="9"/>
    <x v="4"/>
    <x v="2"/>
    <n v="91"/>
    <n v="98"/>
    <n v="5"/>
    <n v="5"/>
    <n v="92.857142857142861"/>
  </r>
  <r>
    <x v="0"/>
    <x v="0"/>
    <x v="3"/>
    <n v="94"/>
    <n v="85"/>
    <n v="10"/>
    <n v="3"/>
    <n v="110.58823529411765"/>
  </r>
  <r>
    <x v="1"/>
    <x v="0"/>
    <x v="3"/>
    <n v="66"/>
    <n v="36"/>
    <n v="3"/>
    <n v="4"/>
    <n v="183.33333333333331"/>
  </r>
  <r>
    <x v="2"/>
    <x v="1"/>
    <x v="3"/>
    <n v="83"/>
    <n v="38"/>
    <n v="1"/>
    <n v="6"/>
    <n v="218.42105263157893"/>
  </r>
  <r>
    <x v="3"/>
    <x v="1"/>
    <x v="3"/>
    <n v="34"/>
    <n v="19"/>
    <n v="3"/>
    <n v="5"/>
    <n v="178.94736842105263"/>
  </r>
  <r>
    <x v="4"/>
    <x v="2"/>
    <x v="3"/>
    <n v="74"/>
    <n v="62"/>
    <n v="2"/>
    <n v="3"/>
    <n v="119.35483870967742"/>
  </r>
  <r>
    <x v="5"/>
    <x v="2"/>
    <x v="3"/>
    <n v="68"/>
    <n v="60"/>
    <n v="8"/>
    <n v="4"/>
    <n v="113.33333333333333"/>
  </r>
  <r>
    <x v="6"/>
    <x v="3"/>
    <x v="3"/>
    <n v="52"/>
    <n v="52"/>
    <n v="1"/>
    <n v="5"/>
    <n v="100"/>
  </r>
  <r>
    <x v="7"/>
    <x v="3"/>
    <x v="3"/>
    <n v="34"/>
    <n v="36"/>
    <n v="5"/>
    <n v="5"/>
    <n v="94.444444444444443"/>
  </r>
  <r>
    <x v="8"/>
    <x v="4"/>
    <x v="3"/>
    <n v="63"/>
    <n v="28"/>
    <n v="5"/>
    <n v="3"/>
    <n v="225"/>
  </r>
  <r>
    <x v="9"/>
    <x v="4"/>
    <x v="3"/>
    <n v="40"/>
    <n v="44"/>
    <n v="1"/>
    <n v="5"/>
    <n v="90.909090909090907"/>
  </r>
  <r>
    <x v="0"/>
    <x v="0"/>
    <x v="4"/>
    <n v="53"/>
    <n v="49"/>
    <n v="3"/>
    <n v="4"/>
    <n v="108.16326530612245"/>
  </r>
  <r>
    <x v="1"/>
    <x v="0"/>
    <x v="4"/>
    <n v="33"/>
    <n v="42"/>
    <n v="5"/>
    <n v="5"/>
    <n v="78.571428571428569"/>
  </r>
  <r>
    <x v="2"/>
    <x v="1"/>
    <x v="4"/>
    <n v="84"/>
    <n v="53"/>
    <n v="3"/>
    <n v="2"/>
    <n v="158.49056603773585"/>
  </r>
  <r>
    <x v="3"/>
    <x v="1"/>
    <x v="4"/>
    <n v="40"/>
    <n v="49"/>
    <n v="9"/>
    <n v="0"/>
    <n v="81.632653061224488"/>
  </r>
  <r>
    <x v="4"/>
    <x v="2"/>
    <x v="4"/>
    <n v="96"/>
    <n v="73"/>
    <n v="8"/>
    <n v="0"/>
    <n v="131.50684931506848"/>
  </r>
  <r>
    <x v="5"/>
    <x v="2"/>
    <x v="4"/>
    <n v="34"/>
    <n v="44"/>
    <n v="6"/>
    <n v="2"/>
    <n v="77.272727272727266"/>
  </r>
  <r>
    <x v="6"/>
    <x v="3"/>
    <x v="4"/>
    <n v="50"/>
    <n v="19"/>
    <n v="4"/>
    <n v="4"/>
    <n v="263.15789473684214"/>
  </r>
  <r>
    <x v="7"/>
    <x v="3"/>
    <x v="4"/>
    <n v="30"/>
    <n v="17"/>
    <n v="6"/>
    <n v="3"/>
    <n v="176.47058823529412"/>
  </r>
  <r>
    <x v="8"/>
    <x v="4"/>
    <x v="4"/>
    <n v="28"/>
    <n v="32"/>
    <n v="7"/>
    <n v="1"/>
    <n v="87.5"/>
  </r>
  <r>
    <x v="9"/>
    <x v="4"/>
    <x v="4"/>
    <n v="36"/>
    <n v="45"/>
    <n v="9"/>
    <n v="1"/>
    <n v="80"/>
  </r>
  <r>
    <x v="0"/>
    <x v="0"/>
    <x v="5"/>
    <n v="53"/>
    <n v="50"/>
    <n v="10"/>
    <n v="3"/>
    <n v="106"/>
  </r>
  <r>
    <x v="1"/>
    <x v="0"/>
    <x v="5"/>
    <n v="47"/>
    <n v="49"/>
    <n v="4"/>
    <n v="5"/>
    <n v="95.918367346938766"/>
  </r>
  <r>
    <x v="2"/>
    <x v="1"/>
    <x v="5"/>
    <n v="59"/>
    <n v="44"/>
    <n v="11"/>
    <n v="5"/>
    <n v="134.09090909090909"/>
  </r>
  <r>
    <x v="3"/>
    <x v="1"/>
    <x v="5"/>
    <n v="67"/>
    <n v="50"/>
    <n v="9"/>
    <n v="3"/>
    <n v="134"/>
  </r>
  <r>
    <x v="4"/>
    <x v="2"/>
    <x v="5"/>
    <n v="35"/>
    <n v="22"/>
    <n v="4"/>
    <n v="0"/>
    <n v="159.09090909090909"/>
  </r>
  <r>
    <x v="5"/>
    <x v="2"/>
    <x v="5"/>
    <n v="63"/>
    <n v="22"/>
    <n v="10"/>
    <n v="4"/>
    <n v="286.36363636363637"/>
  </r>
  <r>
    <x v="6"/>
    <x v="3"/>
    <x v="5"/>
    <n v="49"/>
    <n v="53"/>
    <n v="4"/>
    <n v="0"/>
    <n v="92.452830188679243"/>
  </r>
  <r>
    <x v="7"/>
    <x v="3"/>
    <x v="5"/>
    <n v="29"/>
    <n v="37"/>
    <n v="6"/>
    <n v="0"/>
    <n v="78.378378378378372"/>
  </r>
  <r>
    <x v="8"/>
    <x v="4"/>
    <x v="5"/>
    <n v="49"/>
    <n v="20"/>
    <n v="1"/>
    <n v="6"/>
    <n v="245.00000000000003"/>
  </r>
  <r>
    <x v="9"/>
    <x v="4"/>
    <x v="5"/>
    <n v="62"/>
    <n v="24"/>
    <n v="9"/>
    <n v="1"/>
    <n v="258.33333333333337"/>
  </r>
  <r>
    <x v="0"/>
    <x v="0"/>
    <x v="6"/>
    <n v="55"/>
    <n v="60"/>
    <n v="8"/>
    <n v="1"/>
    <n v="91.666666666666657"/>
  </r>
  <r>
    <x v="1"/>
    <x v="0"/>
    <x v="6"/>
    <n v="89"/>
    <n v="45"/>
    <n v="12"/>
    <n v="4"/>
    <n v="197.77777777777777"/>
  </r>
  <r>
    <x v="2"/>
    <x v="1"/>
    <x v="6"/>
    <n v="93"/>
    <n v="91"/>
    <n v="4"/>
    <n v="6"/>
    <n v="102.19780219780219"/>
  </r>
  <r>
    <x v="3"/>
    <x v="1"/>
    <x v="6"/>
    <n v="80"/>
    <n v="78"/>
    <n v="4"/>
    <n v="0"/>
    <n v="102.56410256410255"/>
  </r>
  <r>
    <x v="4"/>
    <x v="2"/>
    <x v="6"/>
    <n v="32"/>
    <n v="36"/>
    <n v="7"/>
    <n v="2"/>
    <n v="88.888888888888886"/>
  </r>
  <r>
    <x v="5"/>
    <x v="2"/>
    <x v="6"/>
    <n v="74"/>
    <n v="50"/>
    <n v="8"/>
    <n v="6"/>
    <n v="148"/>
  </r>
  <r>
    <x v="6"/>
    <x v="3"/>
    <x v="6"/>
    <n v="26"/>
    <n v="36"/>
    <n v="6"/>
    <n v="0"/>
    <n v="72.222222222222214"/>
  </r>
  <r>
    <x v="7"/>
    <x v="3"/>
    <x v="6"/>
    <n v="27"/>
    <n v="27"/>
    <n v="6"/>
    <n v="2"/>
    <n v="100"/>
  </r>
  <r>
    <x v="8"/>
    <x v="4"/>
    <x v="6"/>
    <n v="33"/>
    <n v="22"/>
    <n v="4"/>
    <n v="1"/>
    <n v="150"/>
  </r>
  <r>
    <x v="9"/>
    <x v="4"/>
    <x v="6"/>
    <n v="88"/>
    <n v="86"/>
    <n v="3"/>
    <n v="3"/>
    <n v="102.32558139534885"/>
  </r>
  <r>
    <x v="0"/>
    <x v="0"/>
    <x v="7"/>
    <n v="43"/>
    <n v="32"/>
    <n v="8"/>
    <n v="1"/>
    <n v="134.375"/>
  </r>
  <r>
    <x v="1"/>
    <x v="0"/>
    <x v="7"/>
    <n v="29"/>
    <n v="29"/>
    <n v="7"/>
    <n v="4"/>
    <n v="100"/>
  </r>
  <r>
    <x v="2"/>
    <x v="1"/>
    <x v="7"/>
    <n v="32"/>
    <n v="16"/>
    <n v="1"/>
    <n v="0"/>
    <n v="200"/>
  </r>
  <r>
    <x v="3"/>
    <x v="1"/>
    <x v="7"/>
    <n v="50"/>
    <n v="26"/>
    <n v="7"/>
    <n v="3"/>
    <n v="192.30769230769232"/>
  </r>
  <r>
    <x v="4"/>
    <x v="2"/>
    <x v="7"/>
    <n v="81"/>
    <n v="54"/>
    <n v="7"/>
    <n v="0"/>
    <n v="150"/>
  </r>
  <r>
    <x v="5"/>
    <x v="2"/>
    <x v="7"/>
    <n v="41"/>
    <n v="39"/>
    <n v="1"/>
    <n v="3"/>
    <n v="105.12820512820514"/>
  </r>
  <r>
    <x v="6"/>
    <x v="3"/>
    <x v="7"/>
    <n v="53"/>
    <n v="46"/>
    <n v="5"/>
    <n v="3"/>
    <n v="115.21739130434783"/>
  </r>
  <r>
    <x v="7"/>
    <x v="3"/>
    <x v="7"/>
    <n v="91"/>
    <n v="92"/>
    <n v="3"/>
    <n v="1"/>
    <n v="98.91304347826086"/>
  </r>
  <r>
    <x v="8"/>
    <x v="4"/>
    <x v="7"/>
    <n v="57"/>
    <n v="32"/>
    <n v="1"/>
    <n v="4"/>
    <n v="178.125"/>
  </r>
  <r>
    <x v="9"/>
    <x v="4"/>
    <x v="7"/>
    <n v="89"/>
    <n v="36"/>
    <n v="12"/>
    <n v="2"/>
    <n v="247.22222222222223"/>
  </r>
  <r>
    <x v="0"/>
    <x v="0"/>
    <x v="8"/>
    <n v="27"/>
    <n v="16"/>
    <n v="5"/>
    <n v="3"/>
    <n v="168.75"/>
  </r>
  <r>
    <x v="1"/>
    <x v="0"/>
    <x v="8"/>
    <n v="84"/>
    <n v="48"/>
    <n v="1"/>
    <n v="4"/>
    <n v="175"/>
  </r>
  <r>
    <x v="2"/>
    <x v="1"/>
    <x v="8"/>
    <n v="30"/>
    <n v="20"/>
    <n v="1"/>
    <n v="4"/>
    <n v="150"/>
  </r>
  <r>
    <x v="3"/>
    <x v="1"/>
    <x v="8"/>
    <n v="28"/>
    <n v="36"/>
    <n v="7"/>
    <n v="1"/>
    <n v="77.777777777777786"/>
  </r>
  <r>
    <x v="4"/>
    <x v="2"/>
    <x v="8"/>
    <n v="71"/>
    <n v="30"/>
    <n v="10"/>
    <n v="1"/>
    <n v="236.66666666666666"/>
  </r>
  <r>
    <x v="5"/>
    <x v="2"/>
    <x v="8"/>
    <n v="94"/>
    <n v="36"/>
    <n v="10"/>
    <n v="0"/>
    <n v="261.11111111111114"/>
  </r>
  <r>
    <x v="6"/>
    <x v="3"/>
    <x v="8"/>
    <n v="73"/>
    <n v="66"/>
    <n v="10"/>
    <n v="4"/>
    <n v="110.60606060606059"/>
  </r>
  <r>
    <x v="7"/>
    <x v="3"/>
    <x v="8"/>
    <n v="86"/>
    <n v="68"/>
    <n v="5"/>
    <n v="1"/>
    <n v="126.47058823529412"/>
  </r>
  <r>
    <x v="8"/>
    <x v="4"/>
    <x v="8"/>
    <n v="60"/>
    <n v="35"/>
    <n v="5"/>
    <n v="3"/>
    <n v="171.42857142857142"/>
  </r>
  <r>
    <x v="9"/>
    <x v="4"/>
    <x v="8"/>
    <n v="36"/>
    <n v="34"/>
    <n v="8"/>
    <n v="2"/>
    <n v="105.88235294117648"/>
  </r>
  <r>
    <x v="0"/>
    <x v="0"/>
    <x v="9"/>
    <n v="29"/>
    <n v="15"/>
    <n v="4"/>
    <n v="4"/>
    <n v="193.33333333333334"/>
  </r>
  <r>
    <x v="1"/>
    <x v="0"/>
    <x v="9"/>
    <n v="92"/>
    <n v="42"/>
    <n v="2"/>
    <n v="4"/>
    <n v="219.04761904761907"/>
  </r>
  <r>
    <x v="2"/>
    <x v="1"/>
    <x v="9"/>
    <n v="47"/>
    <n v="47"/>
    <n v="5"/>
    <n v="1"/>
    <n v="100"/>
  </r>
  <r>
    <x v="3"/>
    <x v="1"/>
    <x v="9"/>
    <n v="64"/>
    <n v="25"/>
    <n v="4"/>
    <n v="2"/>
    <n v="256"/>
  </r>
  <r>
    <x v="4"/>
    <x v="2"/>
    <x v="9"/>
    <n v="56"/>
    <n v="28"/>
    <n v="8"/>
    <n v="6"/>
    <n v="200"/>
  </r>
  <r>
    <x v="5"/>
    <x v="2"/>
    <x v="9"/>
    <n v="89"/>
    <n v="67"/>
    <n v="10"/>
    <n v="6"/>
    <n v="132.8358208955224"/>
  </r>
  <r>
    <x v="6"/>
    <x v="3"/>
    <x v="9"/>
    <n v="87"/>
    <n v="30"/>
    <n v="11"/>
    <n v="6"/>
    <n v="290"/>
  </r>
  <r>
    <x v="7"/>
    <x v="3"/>
    <x v="9"/>
    <n v="90"/>
    <n v="68"/>
    <n v="11"/>
    <n v="0"/>
    <n v="132.35294117647058"/>
  </r>
  <r>
    <x v="8"/>
    <x v="4"/>
    <x v="9"/>
    <n v="37"/>
    <n v="31"/>
    <n v="2"/>
    <n v="0"/>
    <n v="119.35483870967742"/>
  </r>
  <r>
    <x v="9"/>
    <x v="4"/>
    <x v="9"/>
    <n v="90"/>
    <n v="49"/>
    <n v="5"/>
    <n v="2"/>
    <n v="183.673469387755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444931-F3AB-4E0D-BDB8-E0AEDF53DE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8">
    <pivotField showAll="0">
      <items count="11">
        <item x="7"/>
        <item x="4"/>
        <item x="1"/>
        <item x="2"/>
        <item x="5"/>
        <item x="8"/>
        <item x="6"/>
        <item x="3"/>
        <item x="0"/>
        <item x="9"/>
        <item t="default"/>
      </items>
    </pivotField>
    <pivotField axis="axisRow" showAll="0">
      <items count="6">
        <item x="2"/>
        <item x="3"/>
        <item x="1"/>
        <item x="0"/>
        <item x="4"/>
        <item t="default"/>
      </items>
    </pivotField>
    <pivotField showAll="0">
      <items count="11">
        <item x="0"/>
        <item x="9"/>
        <item x="1"/>
        <item x="2"/>
        <item x="3"/>
        <item x="4"/>
        <item x="5"/>
        <item x="6"/>
        <item x="7"/>
        <item x="8"/>
        <item t="default"/>
      </items>
    </pivotField>
    <pivotField dataField="1" showAll="0"/>
    <pivotField showAll="0"/>
    <pivotField showAll="0"/>
    <pivotField showAll="0"/>
    <pivotField numFmtId="2" showAll="0"/>
  </pivotFields>
  <rowFields count="1">
    <field x="1"/>
  </rowFields>
  <rowItems count="6">
    <i>
      <x/>
    </i>
    <i>
      <x v="1"/>
    </i>
    <i>
      <x v="2"/>
    </i>
    <i>
      <x v="3"/>
    </i>
    <i>
      <x v="4"/>
    </i>
    <i t="grand">
      <x/>
    </i>
  </rowItems>
  <colItems count="1">
    <i/>
  </colItems>
  <dataFields count="1">
    <dataField name="Sum of Runs" fld="3" baseField="0" baseItem="0"/>
  </dataFields>
  <chartFormats count="2">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5C109F-447B-4BF2-89AA-4D760D1B3B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8">
    <pivotField axis="axisRow" showAll="0" measureFilter="1" sortType="descending">
      <items count="11">
        <item x="7"/>
        <item x="4"/>
        <item x="1"/>
        <item x="2"/>
        <item x="5"/>
        <item x="8"/>
        <item x="6"/>
        <item x="3"/>
        <item x="0"/>
        <item x="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numFmtId="2" showAll="0"/>
  </pivotFields>
  <rowFields count="1">
    <field x="0"/>
  </rowFields>
  <rowItems count="6">
    <i>
      <x v="4"/>
    </i>
    <i>
      <x v="2"/>
    </i>
    <i>
      <x v="6"/>
    </i>
    <i>
      <x v="1"/>
    </i>
    <i>
      <x v="9"/>
    </i>
    <i t="grand">
      <x/>
    </i>
  </rowItems>
  <colItems count="1">
    <i/>
  </colItems>
  <dataFields count="1">
    <dataField name="Sum of Runs" fld="3"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FE02D6-6BFB-4F18-B93E-86A61F8607C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8">
    <pivotField showAll="0"/>
    <pivotField axis="axisRow" showAll="0">
      <items count="6">
        <item x="2"/>
        <item x="3"/>
        <item x="1"/>
        <item x="0"/>
        <item x="4"/>
        <item t="default"/>
      </items>
    </pivotField>
    <pivotField showAll="0"/>
    <pivotField showAll="0"/>
    <pivotField showAll="0"/>
    <pivotField showAll="0"/>
    <pivotField dataField="1" showAll="0"/>
    <pivotField numFmtId="2" showAll="0"/>
  </pivotFields>
  <rowFields count="1">
    <field x="1"/>
  </rowFields>
  <rowItems count="6">
    <i>
      <x/>
    </i>
    <i>
      <x v="1"/>
    </i>
    <i>
      <x v="2"/>
    </i>
    <i>
      <x v="3"/>
    </i>
    <i>
      <x v="4"/>
    </i>
    <i t="grand">
      <x/>
    </i>
  </rowItems>
  <colItems count="1">
    <i/>
  </colItems>
  <dataFields count="1">
    <dataField name="Sum of Sixes" fld="6" baseField="0" baseItem="0"/>
  </dataFields>
  <chartFormats count="12">
    <chartFormat chart="1" format="0" series="1">
      <pivotArea type="data" outline="0" fieldPosition="0">
        <references count="1">
          <reference field="4294967294" count="1" selected="0">
            <x v="0"/>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1" count="1" selected="0">
            <x v="0"/>
          </reference>
        </references>
      </pivotArea>
    </chartFormat>
    <chartFormat chart="5" format="21">
      <pivotArea type="data" outline="0" fieldPosition="0">
        <references count="2">
          <reference field="4294967294" count="1" selected="0">
            <x v="0"/>
          </reference>
          <reference field="1" count="1" selected="0">
            <x v="1"/>
          </reference>
        </references>
      </pivotArea>
    </chartFormat>
    <chartFormat chart="5" format="22">
      <pivotArea type="data" outline="0" fieldPosition="0">
        <references count="2">
          <reference field="4294967294" count="1" selected="0">
            <x v="0"/>
          </reference>
          <reference field="1" count="1" selected="0">
            <x v="2"/>
          </reference>
        </references>
      </pivotArea>
    </chartFormat>
    <chartFormat chart="5" format="23">
      <pivotArea type="data" outline="0" fieldPosition="0">
        <references count="2">
          <reference field="4294967294" count="1" selected="0">
            <x v="0"/>
          </reference>
          <reference field="1" count="1" selected="0">
            <x v="3"/>
          </reference>
        </references>
      </pivotArea>
    </chartFormat>
    <chartFormat chart="5" format="24">
      <pivotArea type="data" outline="0" fieldPosition="0">
        <references count="2">
          <reference field="4294967294" count="1" selected="0">
            <x v="0"/>
          </reference>
          <reference field="1" count="1" selected="0">
            <x v="4"/>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6E3896-D21C-403D-ACD6-8B69FBA5ED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8">
    <pivotField showAll="0"/>
    <pivotField showAll="0"/>
    <pivotField axis="axisRow" showAll="0">
      <items count="11">
        <item x="0"/>
        <item h="1" x="9"/>
        <item x="1"/>
        <item x="2"/>
        <item x="3"/>
        <item x="4"/>
        <item h="1" x="5"/>
        <item h="1" x="6"/>
        <item h="1" x="7"/>
        <item h="1" x="8"/>
        <item t="default"/>
      </items>
    </pivotField>
    <pivotField dataField="1" showAll="0"/>
    <pivotField showAll="0"/>
    <pivotField showAll="0"/>
    <pivotField showAll="0"/>
    <pivotField numFmtId="2" showAll="0"/>
  </pivotFields>
  <rowFields count="1">
    <field x="2"/>
  </rowFields>
  <rowItems count="6">
    <i>
      <x/>
    </i>
    <i>
      <x v="2"/>
    </i>
    <i>
      <x v="3"/>
    </i>
    <i>
      <x v="4"/>
    </i>
    <i>
      <x v="5"/>
    </i>
    <i t="grand">
      <x/>
    </i>
  </rowItems>
  <colItems count="1">
    <i/>
  </colItems>
  <dataFields count="1">
    <dataField name="Sum of Runs" fld="3" baseField="0" baseItem="0"/>
  </dataFields>
  <chartFormats count="3">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 xr10:uid="{356C59FE-B97A-41BE-AAE3-A57042E8C824}" sourceName="Player">
  <pivotTables>
    <pivotTable tabId="2" name="PivotTable1"/>
  </pivotTables>
  <data>
    <tabular pivotCacheId="807284001">
      <items count="10">
        <i x="7" s="1"/>
        <i x="4" s="1"/>
        <i x="1" s="1"/>
        <i x="2" s="1"/>
        <i x="5" s="1"/>
        <i x="8" s="1"/>
        <i x="6" s="1"/>
        <i x="3" s="1"/>
        <i x="0"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582F1EFA-68A9-48AA-B546-4797B0EC0516}" sourceName="Team">
  <pivotTables>
    <pivotTable tabId="2" name="PivotTable1"/>
  </pivotTables>
  <data>
    <tabular pivotCacheId="807284001">
      <items count="5">
        <i x="2" s="1"/>
        <i x="3"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ch" xr10:uid="{A81730D0-B607-4F3D-B088-E37E46CE2026}" sourceName="Match">
  <pivotTables>
    <pivotTable tabId="2" name="PivotTable1"/>
  </pivotTables>
  <data>
    <tabular pivotCacheId="807284001">
      <items count="10">
        <i x="0" s="1"/>
        <i x="9"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 1" xr10:uid="{482A6A88-287E-487B-9227-8F403095DD36}" cache="Slicer_Player" caption="Player" rowHeight="247650"/>
  <slicer name="Team 1" xr10:uid="{F173E798-F646-42AD-8CE8-11E80742B3B4}" cache="Slicer_Team" caption="Team" rowHeight="247650"/>
  <slicer name="Match 1" xr10:uid="{806006FD-6D83-4CAE-B98D-A1ED758C9D7E}" cache="Slicer_Match" caption="Matc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50902E-B673-4E18-B7B3-F4B825AD3872}" name="Table1" displayName="Table1" ref="A1:I101" totalsRowShown="0" headerRowDxfId="10" tableBorderDxfId="9">
  <autoFilter ref="A1:I101" xr:uid="{1750902E-B673-4E18-B7B3-F4B825AD3872}"/>
  <tableColumns count="9">
    <tableColumn id="1" xr3:uid="{8A482F4D-0069-46B6-B960-11CCBE18A2BE}" name="Player" dataDxfId="8"/>
    <tableColumn id="2" xr3:uid="{214597A4-4407-41F0-854A-834CC044946F}" name="Team" dataDxfId="7"/>
    <tableColumn id="3" xr3:uid="{229A2F44-F298-4201-9F6C-F773687F6799}" name="Match" dataDxfId="6"/>
    <tableColumn id="4" xr3:uid="{A5E6E9A9-0212-4C3E-9875-897F97EB4492}" name="Runs" dataDxfId="5"/>
    <tableColumn id="5" xr3:uid="{ACEA825B-033F-411B-84D8-29215A7C2E68}" name="Balls" dataDxfId="4"/>
    <tableColumn id="6" xr3:uid="{0AC82289-750C-4D31-B49A-BF4CE04C0334}" name="Fours" dataDxfId="3"/>
    <tableColumn id="7" xr3:uid="{D6A544FE-C323-4C84-B68F-5AB1C972EF4D}" name="Sixes" dataDxfId="2"/>
    <tableColumn id="8" xr3:uid="{9DD0FDC4-FC74-480E-972A-36BE3BE3FA55}" name="Strike Rate" dataDxfId="1">
      <calculatedColumnFormula>(D2/E2)*100</calculatedColumnFormula>
    </tableColumn>
    <tableColumn id="9" xr3:uid="{AFA6602C-DCDB-4EDA-BB2A-9A8B4340A1FC}" name="Total Runs" dataDxfId="0">
      <calculatedColumnFormula>SUM(Table1[Runs])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8B6F6-9D21-4BAE-91EA-A75DA7BFBC18}">
  <dimension ref="A3:B9"/>
  <sheetViews>
    <sheetView zoomScale="120" zoomScaleNormal="120" workbookViewId="0">
      <selection activeCell="E17" sqref="E17"/>
    </sheetView>
  </sheetViews>
  <sheetFormatPr defaultRowHeight="14.4" x14ac:dyDescent="0.3"/>
  <cols>
    <col min="1" max="1" width="12.44140625" bestFit="1" customWidth="1"/>
    <col min="2" max="2" width="11" bestFit="1" customWidth="1"/>
  </cols>
  <sheetData>
    <row r="3" spans="1:2" x14ac:dyDescent="0.3">
      <c r="A3" s="10" t="s">
        <v>33</v>
      </c>
      <c r="B3" t="s">
        <v>35</v>
      </c>
    </row>
    <row r="4" spans="1:2" x14ac:dyDescent="0.3">
      <c r="A4" s="11" t="s">
        <v>19</v>
      </c>
      <c r="B4">
        <v>1274</v>
      </c>
    </row>
    <row r="5" spans="1:2" x14ac:dyDescent="0.3">
      <c r="A5" s="11" t="s">
        <v>20</v>
      </c>
      <c r="B5">
        <v>1225</v>
      </c>
    </row>
    <row r="6" spans="1:2" x14ac:dyDescent="0.3">
      <c r="A6" s="11" t="s">
        <v>18</v>
      </c>
      <c r="B6">
        <v>1156</v>
      </c>
    </row>
    <row r="7" spans="1:2" x14ac:dyDescent="0.3">
      <c r="A7" s="11" t="s">
        <v>17</v>
      </c>
      <c r="B7">
        <v>1088</v>
      </c>
    </row>
    <row r="8" spans="1:2" x14ac:dyDescent="0.3">
      <c r="A8" s="11" t="s">
        <v>21</v>
      </c>
      <c r="B8">
        <v>1088</v>
      </c>
    </row>
    <row r="9" spans="1:2" x14ac:dyDescent="0.3">
      <c r="A9" s="11" t="s">
        <v>34</v>
      </c>
      <c r="B9">
        <v>5831</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xr2:uid="{D4FA5CE9-5074-4426-92FE-6918A1113868}">
          <x14:colorSeries rgb="FF376092"/>
          <x14:colorNegative rgb="FFD00000"/>
          <x14:colorAxis rgb="FF000000"/>
          <x14:colorMarkers rgb="FFD00000"/>
          <x14:colorFirst rgb="FFD00000"/>
          <x14:colorLast rgb="FFD00000"/>
          <x14:colorHigh rgb="FFD00000"/>
          <x14:colorLow rgb="FFD00000"/>
          <x14:sparklines>
            <x14:sparkline>
              <xm:f>'Pivot Table1'!B4:B9</xm:f>
              <xm:sqref>B12</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A397B-70AF-45CC-B808-5BE18C9CA931}">
  <dimension ref="A3:B9"/>
  <sheetViews>
    <sheetView workbookViewId="0">
      <selection activeCell="B6" sqref="B6"/>
    </sheetView>
  </sheetViews>
  <sheetFormatPr defaultRowHeight="14.4" x14ac:dyDescent="0.3"/>
  <cols>
    <col min="1" max="1" width="14.21875" bestFit="1" customWidth="1"/>
    <col min="2" max="2" width="11" bestFit="1" customWidth="1"/>
  </cols>
  <sheetData>
    <row r="3" spans="1:2" x14ac:dyDescent="0.3">
      <c r="A3" s="10" t="s">
        <v>33</v>
      </c>
      <c r="B3" t="s">
        <v>35</v>
      </c>
    </row>
    <row r="4" spans="1:2" x14ac:dyDescent="0.3">
      <c r="A4" s="11" t="s">
        <v>12</v>
      </c>
      <c r="B4">
        <v>653</v>
      </c>
    </row>
    <row r="5" spans="1:2" x14ac:dyDescent="0.3">
      <c r="A5" s="11" t="s">
        <v>8</v>
      </c>
      <c r="B5">
        <v>640</v>
      </c>
    </row>
    <row r="6" spans="1:2" x14ac:dyDescent="0.3">
      <c r="A6" s="11" t="s">
        <v>13</v>
      </c>
      <c r="B6">
        <v>628</v>
      </c>
    </row>
    <row r="7" spans="1:2" x14ac:dyDescent="0.3">
      <c r="A7" s="11" t="s">
        <v>11</v>
      </c>
      <c r="B7">
        <v>621</v>
      </c>
    </row>
    <row r="8" spans="1:2" x14ac:dyDescent="0.3">
      <c r="A8" s="11" t="s">
        <v>16</v>
      </c>
      <c r="B8">
        <v>617</v>
      </c>
    </row>
    <row r="9" spans="1:2" x14ac:dyDescent="0.3">
      <c r="A9" s="11" t="s">
        <v>34</v>
      </c>
      <c r="B9">
        <v>3159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2FC7-0E70-43D6-8925-0DC449D90EF3}">
  <dimension ref="A3:B9"/>
  <sheetViews>
    <sheetView workbookViewId="0">
      <selection activeCell="H14" sqref="H14"/>
    </sheetView>
  </sheetViews>
  <sheetFormatPr defaultRowHeight="14.4" x14ac:dyDescent="0.3"/>
  <cols>
    <col min="1" max="1" width="12.44140625" bestFit="1" customWidth="1"/>
    <col min="2" max="2" width="11.44140625" bestFit="1" customWidth="1"/>
  </cols>
  <sheetData>
    <row r="3" spans="1:2" x14ac:dyDescent="0.3">
      <c r="A3" s="10" t="s">
        <v>33</v>
      </c>
      <c r="B3" t="s">
        <v>36</v>
      </c>
    </row>
    <row r="4" spans="1:2" x14ac:dyDescent="0.3">
      <c r="A4" s="11" t="s">
        <v>19</v>
      </c>
      <c r="B4">
        <v>47</v>
      </c>
    </row>
    <row r="5" spans="1:2" x14ac:dyDescent="0.3">
      <c r="A5" s="11" t="s">
        <v>20</v>
      </c>
      <c r="B5">
        <v>60</v>
      </c>
    </row>
    <row r="6" spans="1:2" x14ac:dyDescent="0.3">
      <c r="A6" s="11" t="s">
        <v>18</v>
      </c>
      <c r="B6">
        <v>51</v>
      </c>
    </row>
    <row r="7" spans="1:2" x14ac:dyDescent="0.3">
      <c r="A7" s="11" t="s">
        <v>17</v>
      </c>
      <c r="B7">
        <v>62</v>
      </c>
    </row>
    <row r="8" spans="1:2" x14ac:dyDescent="0.3">
      <c r="A8" s="11" t="s">
        <v>21</v>
      </c>
      <c r="B8">
        <v>49</v>
      </c>
    </row>
    <row r="9" spans="1:2" x14ac:dyDescent="0.3">
      <c r="A9" s="11" t="s">
        <v>34</v>
      </c>
      <c r="B9">
        <v>269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23831-69B2-4782-9C55-31D6EC9AE667}">
  <dimension ref="A3:B9"/>
  <sheetViews>
    <sheetView workbookViewId="0">
      <selection activeCell="M4" sqref="M4"/>
    </sheetView>
  </sheetViews>
  <sheetFormatPr defaultRowHeight="14.4" x14ac:dyDescent="0.3"/>
  <cols>
    <col min="1" max="1" width="12.44140625" bestFit="1" customWidth="1"/>
    <col min="2" max="2" width="11" bestFit="1" customWidth="1"/>
  </cols>
  <sheetData>
    <row r="3" spans="1:2" x14ac:dyDescent="0.3">
      <c r="A3" s="10" t="s">
        <v>33</v>
      </c>
      <c r="B3" t="s">
        <v>35</v>
      </c>
    </row>
    <row r="4" spans="1:2" x14ac:dyDescent="0.3">
      <c r="A4" s="11" t="s">
        <v>22</v>
      </c>
      <c r="B4">
        <v>598</v>
      </c>
    </row>
    <row r="5" spans="1:2" x14ac:dyDescent="0.3">
      <c r="A5" s="11" t="s">
        <v>23</v>
      </c>
      <c r="B5">
        <v>517</v>
      </c>
    </row>
    <row r="6" spans="1:2" x14ac:dyDescent="0.3">
      <c r="A6" s="11" t="s">
        <v>24</v>
      </c>
      <c r="B6">
        <v>678</v>
      </c>
    </row>
    <row r="7" spans="1:2" x14ac:dyDescent="0.3">
      <c r="A7" s="11" t="s">
        <v>25</v>
      </c>
      <c r="B7">
        <v>608</v>
      </c>
    </row>
    <row r="8" spans="1:2" x14ac:dyDescent="0.3">
      <c r="A8" s="11" t="s">
        <v>26</v>
      </c>
      <c r="B8">
        <v>484</v>
      </c>
    </row>
    <row r="9" spans="1:2" x14ac:dyDescent="0.3">
      <c r="A9" s="11" t="s">
        <v>34</v>
      </c>
      <c r="B9">
        <v>2885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42873-3A2E-4197-BF3E-3FF8980014B9}">
  <dimension ref="A1:I101"/>
  <sheetViews>
    <sheetView topLeftCell="A88" workbookViewId="0">
      <selection activeCell="L116" sqref="L116"/>
    </sheetView>
  </sheetViews>
  <sheetFormatPr defaultRowHeight="14.4" x14ac:dyDescent="0.3"/>
  <cols>
    <col min="1" max="1" width="15.77734375" bestFit="1" customWidth="1"/>
    <col min="2" max="2" width="7.44140625" customWidth="1"/>
    <col min="3" max="3" width="8.33203125" bestFit="1" customWidth="1"/>
    <col min="4" max="4" width="6.88671875" customWidth="1"/>
    <col min="5" max="5" width="7" customWidth="1"/>
    <col min="6" max="6" width="7.44140625" customWidth="1"/>
    <col min="7" max="7" width="7.33203125" customWidth="1"/>
    <col min="8" max="8" width="12" customWidth="1"/>
  </cols>
  <sheetData>
    <row r="1" spans="1:9" x14ac:dyDescent="0.3">
      <c r="A1" s="3" t="s">
        <v>0</v>
      </c>
      <c r="B1" s="2" t="s">
        <v>1</v>
      </c>
      <c r="C1" s="2" t="s">
        <v>2</v>
      </c>
      <c r="D1" s="2" t="s">
        <v>3</v>
      </c>
      <c r="E1" s="2" t="s">
        <v>4</v>
      </c>
      <c r="F1" s="2" t="s">
        <v>5</v>
      </c>
      <c r="G1" s="2" t="s">
        <v>6</v>
      </c>
      <c r="H1" s="5" t="s">
        <v>32</v>
      </c>
      <c r="I1" s="13" t="s">
        <v>37</v>
      </c>
    </row>
    <row r="2" spans="1:9" x14ac:dyDescent="0.3">
      <c r="A2" s="4" t="s">
        <v>7</v>
      </c>
      <c r="B2" s="1" t="s">
        <v>17</v>
      </c>
      <c r="C2" s="1" t="s">
        <v>22</v>
      </c>
      <c r="D2" s="1">
        <v>34</v>
      </c>
      <c r="E2" s="1">
        <v>15</v>
      </c>
      <c r="F2" s="1">
        <v>5</v>
      </c>
      <c r="G2" s="1">
        <v>1</v>
      </c>
      <c r="H2" s="6">
        <f>(D2/E2)*100</f>
        <v>226.66666666666666</v>
      </c>
      <c r="I2" s="12">
        <f>SUM(Table1[Runs])</f>
        <v>5831</v>
      </c>
    </row>
    <row r="3" spans="1:9" x14ac:dyDescent="0.3">
      <c r="A3" s="4" t="s">
        <v>8</v>
      </c>
      <c r="B3" s="1" t="s">
        <v>17</v>
      </c>
      <c r="C3" s="1" t="s">
        <v>22</v>
      </c>
      <c r="D3" s="1">
        <v>48</v>
      </c>
      <c r="E3" s="1">
        <v>24</v>
      </c>
      <c r="F3" s="1">
        <v>12</v>
      </c>
      <c r="G3" s="1">
        <v>0</v>
      </c>
      <c r="H3" s="6">
        <f t="shared" ref="H3:H66" si="0">(D3/E3)*100</f>
        <v>200</v>
      </c>
      <c r="I3" s="1"/>
    </row>
    <row r="4" spans="1:9" x14ac:dyDescent="0.3">
      <c r="A4" s="4" t="s">
        <v>9</v>
      </c>
      <c r="B4" s="1" t="s">
        <v>18</v>
      </c>
      <c r="C4" s="1" t="s">
        <v>22</v>
      </c>
      <c r="D4" s="1">
        <v>89</v>
      </c>
      <c r="E4" s="1">
        <v>40</v>
      </c>
      <c r="F4" s="1">
        <v>10</v>
      </c>
      <c r="G4" s="1">
        <v>3</v>
      </c>
      <c r="H4" s="6">
        <f t="shared" si="0"/>
        <v>222.5</v>
      </c>
      <c r="I4" s="1"/>
    </row>
    <row r="5" spans="1:9" x14ac:dyDescent="0.3">
      <c r="A5" s="4" t="s">
        <v>10</v>
      </c>
      <c r="B5" s="1" t="s">
        <v>18</v>
      </c>
      <c r="C5" s="1" t="s">
        <v>22</v>
      </c>
      <c r="D5" s="1">
        <v>24</v>
      </c>
      <c r="E5" s="1">
        <v>15</v>
      </c>
      <c r="F5" s="1">
        <v>1</v>
      </c>
      <c r="G5" s="1">
        <v>1</v>
      </c>
      <c r="H5" s="6">
        <f t="shared" si="0"/>
        <v>160</v>
      </c>
      <c r="I5" s="1"/>
    </row>
    <row r="6" spans="1:9" x14ac:dyDescent="0.3">
      <c r="A6" s="4" t="s">
        <v>11</v>
      </c>
      <c r="B6" s="1" t="s">
        <v>19</v>
      </c>
      <c r="C6" s="1" t="s">
        <v>22</v>
      </c>
      <c r="D6" s="1">
        <v>49</v>
      </c>
      <c r="E6" s="1">
        <v>48</v>
      </c>
      <c r="F6" s="1">
        <v>10</v>
      </c>
      <c r="G6" s="1">
        <v>0</v>
      </c>
      <c r="H6" s="6">
        <f t="shared" si="0"/>
        <v>102.08333333333333</v>
      </c>
      <c r="I6" s="1"/>
    </row>
    <row r="7" spans="1:9" x14ac:dyDescent="0.3">
      <c r="A7" s="4" t="s">
        <v>12</v>
      </c>
      <c r="B7" s="1" t="s">
        <v>19</v>
      </c>
      <c r="C7" s="1" t="s">
        <v>22</v>
      </c>
      <c r="D7" s="1">
        <v>91</v>
      </c>
      <c r="E7" s="1">
        <v>55</v>
      </c>
      <c r="F7" s="1">
        <v>12</v>
      </c>
      <c r="G7" s="1">
        <v>5</v>
      </c>
      <c r="H7" s="6">
        <f t="shared" si="0"/>
        <v>165.45454545454547</v>
      </c>
      <c r="I7" s="1"/>
    </row>
    <row r="8" spans="1:9" x14ac:dyDescent="0.3">
      <c r="A8" s="4" t="s">
        <v>13</v>
      </c>
      <c r="B8" s="1" t="s">
        <v>20</v>
      </c>
      <c r="C8" s="1" t="s">
        <v>22</v>
      </c>
      <c r="D8" s="1">
        <v>89</v>
      </c>
      <c r="E8" s="1">
        <v>82</v>
      </c>
      <c r="F8" s="1">
        <v>4</v>
      </c>
      <c r="G8" s="1">
        <v>3</v>
      </c>
      <c r="H8" s="6">
        <f t="shared" si="0"/>
        <v>108.53658536585367</v>
      </c>
      <c r="I8" s="1"/>
    </row>
    <row r="9" spans="1:9" x14ac:dyDescent="0.3">
      <c r="A9" s="4" t="s">
        <v>14</v>
      </c>
      <c r="B9" s="1" t="s">
        <v>20</v>
      </c>
      <c r="C9" s="1" t="s">
        <v>22</v>
      </c>
      <c r="D9" s="1">
        <v>95</v>
      </c>
      <c r="E9" s="1">
        <v>66</v>
      </c>
      <c r="F9" s="1">
        <v>1</v>
      </c>
      <c r="G9" s="1">
        <v>6</v>
      </c>
      <c r="H9" s="6">
        <f t="shared" si="0"/>
        <v>143.93939393939394</v>
      </c>
      <c r="I9" s="1"/>
    </row>
    <row r="10" spans="1:9" x14ac:dyDescent="0.3">
      <c r="A10" s="4" t="s">
        <v>15</v>
      </c>
      <c r="B10" s="1" t="s">
        <v>21</v>
      </c>
      <c r="C10" s="1" t="s">
        <v>22</v>
      </c>
      <c r="D10" s="1">
        <v>40</v>
      </c>
      <c r="E10" s="1">
        <v>42</v>
      </c>
      <c r="F10" s="1">
        <v>6</v>
      </c>
      <c r="G10" s="1">
        <v>2</v>
      </c>
      <c r="H10" s="6">
        <f t="shared" si="0"/>
        <v>95.238095238095227</v>
      </c>
      <c r="I10" s="1"/>
    </row>
    <row r="11" spans="1:9" x14ac:dyDescent="0.3">
      <c r="A11" s="4" t="s">
        <v>16</v>
      </c>
      <c r="B11" s="1" t="s">
        <v>21</v>
      </c>
      <c r="C11" s="1" t="s">
        <v>22</v>
      </c>
      <c r="D11" s="1">
        <v>39</v>
      </c>
      <c r="E11" s="1">
        <v>28</v>
      </c>
      <c r="F11" s="1">
        <v>6</v>
      </c>
      <c r="G11" s="1">
        <v>0</v>
      </c>
      <c r="H11" s="6">
        <f t="shared" si="0"/>
        <v>139.28571428571428</v>
      </c>
      <c r="I11" s="1"/>
    </row>
    <row r="12" spans="1:9" x14ac:dyDescent="0.3">
      <c r="A12" s="4" t="s">
        <v>7</v>
      </c>
      <c r="B12" s="1" t="s">
        <v>17</v>
      </c>
      <c r="C12" s="1" t="s">
        <v>23</v>
      </c>
      <c r="D12" s="1">
        <v>31</v>
      </c>
      <c r="E12" s="1">
        <v>27</v>
      </c>
      <c r="F12" s="1">
        <v>1</v>
      </c>
      <c r="G12" s="1">
        <v>2</v>
      </c>
      <c r="H12" s="6">
        <f t="shared" si="0"/>
        <v>114.81481481481481</v>
      </c>
      <c r="I12" s="1"/>
    </row>
    <row r="13" spans="1:9" x14ac:dyDescent="0.3">
      <c r="A13" s="4" t="s">
        <v>8</v>
      </c>
      <c r="B13" s="1" t="s">
        <v>17</v>
      </c>
      <c r="C13" s="1" t="s">
        <v>23</v>
      </c>
      <c r="D13" s="1">
        <v>64</v>
      </c>
      <c r="E13" s="1">
        <v>59</v>
      </c>
      <c r="F13" s="1">
        <v>5</v>
      </c>
      <c r="G13" s="1">
        <v>6</v>
      </c>
      <c r="H13" s="6">
        <f t="shared" si="0"/>
        <v>108.47457627118644</v>
      </c>
      <c r="I13" s="1"/>
    </row>
    <row r="14" spans="1:9" x14ac:dyDescent="0.3">
      <c r="A14" s="4" t="s">
        <v>9</v>
      </c>
      <c r="B14" s="1" t="s">
        <v>18</v>
      </c>
      <c r="C14" s="1" t="s">
        <v>23</v>
      </c>
      <c r="D14" s="1">
        <v>25</v>
      </c>
      <c r="E14" s="1">
        <v>29</v>
      </c>
      <c r="F14" s="1">
        <v>5</v>
      </c>
      <c r="G14" s="1">
        <v>0</v>
      </c>
      <c r="H14" s="6">
        <f t="shared" si="0"/>
        <v>86.206896551724128</v>
      </c>
      <c r="I14" s="1"/>
    </row>
    <row r="15" spans="1:9" x14ac:dyDescent="0.3">
      <c r="A15" s="4" t="s">
        <v>10</v>
      </c>
      <c r="B15" s="1" t="s">
        <v>18</v>
      </c>
      <c r="C15" s="1" t="s">
        <v>23</v>
      </c>
      <c r="D15" s="1">
        <v>68</v>
      </c>
      <c r="E15" s="1">
        <v>27</v>
      </c>
      <c r="F15" s="1">
        <v>9</v>
      </c>
      <c r="G15" s="1">
        <v>2</v>
      </c>
      <c r="H15" s="6">
        <f t="shared" si="0"/>
        <v>251.85185185185185</v>
      </c>
      <c r="I15" s="1"/>
    </row>
    <row r="16" spans="1:9" x14ac:dyDescent="0.3">
      <c r="A16" s="4" t="s">
        <v>11</v>
      </c>
      <c r="B16" s="1" t="s">
        <v>19</v>
      </c>
      <c r="C16" s="1" t="s">
        <v>23</v>
      </c>
      <c r="D16" s="1">
        <v>100</v>
      </c>
      <c r="E16" s="1">
        <v>79</v>
      </c>
      <c r="F16" s="1">
        <v>10</v>
      </c>
      <c r="G16" s="1">
        <v>1</v>
      </c>
      <c r="H16" s="6">
        <f t="shared" si="0"/>
        <v>126.58227848101266</v>
      </c>
      <c r="I16" s="1"/>
    </row>
    <row r="17" spans="1:9" x14ac:dyDescent="0.3">
      <c r="A17" s="4" t="s">
        <v>12</v>
      </c>
      <c r="B17" s="1" t="s">
        <v>19</v>
      </c>
      <c r="C17" s="1" t="s">
        <v>23</v>
      </c>
      <c r="D17" s="1">
        <v>28</v>
      </c>
      <c r="E17" s="1">
        <v>16</v>
      </c>
      <c r="F17" s="1">
        <v>6</v>
      </c>
      <c r="G17" s="1">
        <v>1</v>
      </c>
      <c r="H17" s="6">
        <f t="shared" si="0"/>
        <v>175</v>
      </c>
      <c r="I17" s="1"/>
    </row>
    <row r="18" spans="1:9" x14ac:dyDescent="0.3">
      <c r="A18" s="4" t="s">
        <v>13</v>
      </c>
      <c r="B18" s="1" t="s">
        <v>20</v>
      </c>
      <c r="C18" s="1" t="s">
        <v>23</v>
      </c>
      <c r="D18" s="1">
        <v>57</v>
      </c>
      <c r="E18" s="1">
        <v>24</v>
      </c>
      <c r="F18" s="1">
        <v>4</v>
      </c>
      <c r="G18" s="1">
        <v>6</v>
      </c>
      <c r="H18" s="6">
        <f t="shared" si="0"/>
        <v>237.5</v>
      </c>
      <c r="I18" s="1"/>
    </row>
    <row r="19" spans="1:9" x14ac:dyDescent="0.3">
      <c r="A19" s="4" t="s">
        <v>14</v>
      </c>
      <c r="B19" s="1" t="s">
        <v>20</v>
      </c>
      <c r="C19" s="1" t="s">
        <v>23</v>
      </c>
      <c r="D19" s="1">
        <v>32</v>
      </c>
      <c r="E19" s="1">
        <v>27</v>
      </c>
      <c r="F19" s="1">
        <v>5</v>
      </c>
      <c r="G19" s="1">
        <v>3</v>
      </c>
      <c r="H19" s="6">
        <f t="shared" si="0"/>
        <v>118.5185185185185</v>
      </c>
      <c r="I19" s="1"/>
    </row>
    <row r="20" spans="1:9" x14ac:dyDescent="0.3">
      <c r="A20" s="4" t="s">
        <v>15</v>
      </c>
      <c r="B20" s="1" t="s">
        <v>21</v>
      </c>
      <c r="C20" s="1" t="s">
        <v>23</v>
      </c>
      <c r="D20" s="1">
        <v>66</v>
      </c>
      <c r="E20" s="1">
        <v>32</v>
      </c>
      <c r="F20" s="1">
        <v>6</v>
      </c>
      <c r="G20" s="1">
        <v>2</v>
      </c>
      <c r="H20" s="6">
        <f t="shared" si="0"/>
        <v>206.25</v>
      </c>
      <c r="I20" s="1"/>
    </row>
    <row r="21" spans="1:9" x14ac:dyDescent="0.3">
      <c r="A21" s="4" t="s">
        <v>16</v>
      </c>
      <c r="B21" s="1" t="s">
        <v>21</v>
      </c>
      <c r="C21" s="1" t="s">
        <v>23</v>
      </c>
      <c r="D21" s="1">
        <v>46</v>
      </c>
      <c r="E21" s="1">
        <v>32</v>
      </c>
      <c r="F21" s="1">
        <v>11</v>
      </c>
      <c r="G21" s="1">
        <v>5</v>
      </c>
      <c r="H21" s="6">
        <f t="shared" si="0"/>
        <v>143.75</v>
      </c>
      <c r="I21" s="1"/>
    </row>
    <row r="22" spans="1:9" x14ac:dyDescent="0.3">
      <c r="A22" s="4" t="s">
        <v>7</v>
      </c>
      <c r="B22" s="1" t="s">
        <v>17</v>
      </c>
      <c r="C22" s="1" t="s">
        <v>24</v>
      </c>
      <c r="D22" s="1">
        <v>29</v>
      </c>
      <c r="E22" s="1">
        <v>34</v>
      </c>
      <c r="F22" s="1">
        <v>6</v>
      </c>
      <c r="G22" s="1">
        <v>1</v>
      </c>
      <c r="H22" s="6">
        <f t="shared" si="0"/>
        <v>85.294117647058826</v>
      </c>
      <c r="I22" s="1"/>
    </row>
    <row r="23" spans="1:9" x14ac:dyDescent="0.3">
      <c r="A23" s="4" t="s">
        <v>8</v>
      </c>
      <c r="B23" s="1" t="s">
        <v>17</v>
      </c>
      <c r="C23" s="1" t="s">
        <v>24</v>
      </c>
      <c r="D23" s="1">
        <v>88</v>
      </c>
      <c r="E23" s="1">
        <v>60</v>
      </c>
      <c r="F23" s="1">
        <v>3</v>
      </c>
      <c r="G23" s="1">
        <v>3</v>
      </c>
      <c r="H23" s="6">
        <f t="shared" si="0"/>
        <v>146.66666666666666</v>
      </c>
      <c r="I23" s="1"/>
    </row>
    <row r="24" spans="1:9" x14ac:dyDescent="0.3">
      <c r="A24" s="4" t="s">
        <v>9</v>
      </c>
      <c r="B24" s="1" t="s">
        <v>18</v>
      </c>
      <c r="C24" s="1" t="s">
        <v>24</v>
      </c>
      <c r="D24" s="1">
        <v>68</v>
      </c>
      <c r="E24" s="1">
        <v>39</v>
      </c>
      <c r="F24" s="1">
        <v>11</v>
      </c>
      <c r="G24" s="1">
        <v>5</v>
      </c>
      <c r="H24" s="6">
        <f t="shared" si="0"/>
        <v>174.35897435897436</v>
      </c>
      <c r="I24" s="1"/>
    </row>
    <row r="25" spans="1:9" x14ac:dyDescent="0.3">
      <c r="A25" s="4" t="s">
        <v>10</v>
      </c>
      <c r="B25" s="1" t="s">
        <v>18</v>
      </c>
      <c r="C25" s="1" t="s">
        <v>24</v>
      </c>
      <c r="D25" s="1">
        <v>91</v>
      </c>
      <c r="E25" s="1">
        <v>58</v>
      </c>
      <c r="F25" s="1">
        <v>11</v>
      </c>
      <c r="G25" s="1">
        <v>2</v>
      </c>
      <c r="H25" s="6">
        <f t="shared" si="0"/>
        <v>156.89655172413794</v>
      </c>
      <c r="I25" s="1"/>
    </row>
    <row r="26" spans="1:9" x14ac:dyDescent="0.3">
      <c r="A26" s="4" t="s">
        <v>11</v>
      </c>
      <c r="B26" s="1" t="s">
        <v>19</v>
      </c>
      <c r="C26" s="1" t="s">
        <v>24</v>
      </c>
      <c r="D26" s="1">
        <v>27</v>
      </c>
      <c r="E26" s="1">
        <v>22</v>
      </c>
      <c r="F26" s="1">
        <v>1</v>
      </c>
      <c r="G26" s="1">
        <v>2</v>
      </c>
      <c r="H26" s="6">
        <f t="shared" si="0"/>
        <v>122.72727272727273</v>
      </c>
      <c r="I26" s="1"/>
    </row>
    <row r="27" spans="1:9" x14ac:dyDescent="0.3">
      <c r="A27" s="4" t="s">
        <v>12</v>
      </c>
      <c r="B27" s="1" t="s">
        <v>19</v>
      </c>
      <c r="C27" s="1" t="s">
        <v>24</v>
      </c>
      <c r="D27" s="1">
        <v>71</v>
      </c>
      <c r="E27" s="1">
        <v>40</v>
      </c>
      <c r="F27" s="1">
        <v>2</v>
      </c>
      <c r="G27" s="1">
        <v>1</v>
      </c>
      <c r="H27" s="6">
        <f t="shared" si="0"/>
        <v>177.5</v>
      </c>
      <c r="I27" s="1"/>
    </row>
    <row r="28" spans="1:9" x14ac:dyDescent="0.3">
      <c r="A28" s="4" t="s">
        <v>13</v>
      </c>
      <c r="B28" s="1" t="s">
        <v>20</v>
      </c>
      <c r="C28" s="1" t="s">
        <v>24</v>
      </c>
      <c r="D28" s="1">
        <v>92</v>
      </c>
      <c r="E28" s="1">
        <v>70</v>
      </c>
      <c r="F28" s="1">
        <v>4</v>
      </c>
      <c r="G28" s="1">
        <v>5</v>
      </c>
      <c r="H28" s="6">
        <f t="shared" si="0"/>
        <v>131.42857142857142</v>
      </c>
      <c r="I28" s="1"/>
    </row>
    <row r="29" spans="1:9" x14ac:dyDescent="0.3">
      <c r="A29" s="4" t="s">
        <v>14</v>
      </c>
      <c r="B29" s="1" t="s">
        <v>20</v>
      </c>
      <c r="C29" s="1" t="s">
        <v>24</v>
      </c>
      <c r="D29" s="1">
        <v>83</v>
      </c>
      <c r="E29" s="1">
        <v>77</v>
      </c>
      <c r="F29" s="1">
        <v>11</v>
      </c>
      <c r="G29" s="1">
        <v>3</v>
      </c>
      <c r="H29" s="6">
        <f t="shared" si="0"/>
        <v>107.79220779220779</v>
      </c>
      <c r="I29" s="1"/>
    </row>
    <row r="30" spans="1:9" x14ac:dyDescent="0.3">
      <c r="A30" s="4" t="s">
        <v>15</v>
      </c>
      <c r="B30" s="1" t="s">
        <v>21</v>
      </c>
      <c r="C30" s="1" t="s">
        <v>24</v>
      </c>
      <c r="D30" s="1">
        <v>38</v>
      </c>
      <c r="E30" s="1">
        <v>31</v>
      </c>
      <c r="F30" s="1">
        <v>3</v>
      </c>
      <c r="G30" s="1">
        <v>1</v>
      </c>
      <c r="H30" s="6">
        <f t="shared" si="0"/>
        <v>122.58064516129032</v>
      </c>
      <c r="I30" s="1"/>
    </row>
    <row r="31" spans="1:9" x14ac:dyDescent="0.3">
      <c r="A31" s="4" t="s">
        <v>16</v>
      </c>
      <c r="B31" s="1" t="s">
        <v>21</v>
      </c>
      <c r="C31" s="1" t="s">
        <v>24</v>
      </c>
      <c r="D31" s="1">
        <v>91</v>
      </c>
      <c r="E31" s="1">
        <v>98</v>
      </c>
      <c r="F31" s="1">
        <v>5</v>
      </c>
      <c r="G31" s="1">
        <v>5</v>
      </c>
      <c r="H31" s="6">
        <f t="shared" si="0"/>
        <v>92.857142857142861</v>
      </c>
      <c r="I31" s="1"/>
    </row>
    <row r="32" spans="1:9" x14ac:dyDescent="0.3">
      <c r="A32" s="4" t="s">
        <v>7</v>
      </c>
      <c r="B32" s="1" t="s">
        <v>17</v>
      </c>
      <c r="C32" s="1" t="s">
        <v>25</v>
      </c>
      <c r="D32" s="1">
        <v>94</v>
      </c>
      <c r="E32" s="1">
        <v>85</v>
      </c>
      <c r="F32" s="1">
        <v>10</v>
      </c>
      <c r="G32" s="1">
        <v>3</v>
      </c>
      <c r="H32" s="6">
        <f t="shared" si="0"/>
        <v>110.58823529411765</v>
      </c>
      <c r="I32" s="1"/>
    </row>
    <row r="33" spans="1:9" x14ac:dyDescent="0.3">
      <c r="A33" s="4" t="s">
        <v>8</v>
      </c>
      <c r="B33" s="1" t="s">
        <v>17</v>
      </c>
      <c r="C33" s="1" t="s">
        <v>25</v>
      </c>
      <c r="D33" s="1">
        <v>66</v>
      </c>
      <c r="E33" s="1">
        <v>36</v>
      </c>
      <c r="F33" s="1">
        <v>3</v>
      </c>
      <c r="G33" s="1">
        <v>4</v>
      </c>
      <c r="H33" s="6">
        <f t="shared" si="0"/>
        <v>183.33333333333331</v>
      </c>
      <c r="I33" s="1"/>
    </row>
    <row r="34" spans="1:9" x14ac:dyDescent="0.3">
      <c r="A34" s="4" t="s">
        <v>9</v>
      </c>
      <c r="B34" s="1" t="s">
        <v>18</v>
      </c>
      <c r="C34" s="1" t="s">
        <v>25</v>
      </c>
      <c r="D34" s="1">
        <v>83</v>
      </c>
      <c r="E34" s="1">
        <v>38</v>
      </c>
      <c r="F34" s="1">
        <v>1</v>
      </c>
      <c r="G34" s="1">
        <v>6</v>
      </c>
      <c r="H34" s="6">
        <f t="shared" si="0"/>
        <v>218.42105263157893</v>
      </c>
      <c r="I34" s="1"/>
    </row>
    <row r="35" spans="1:9" x14ac:dyDescent="0.3">
      <c r="A35" s="4" t="s">
        <v>10</v>
      </c>
      <c r="B35" s="1" t="s">
        <v>18</v>
      </c>
      <c r="C35" s="1" t="s">
        <v>25</v>
      </c>
      <c r="D35" s="1">
        <v>34</v>
      </c>
      <c r="E35" s="1">
        <v>19</v>
      </c>
      <c r="F35" s="1">
        <v>3</v>
      </c>
      <c r="G35" s="1">
        <v>5</v>
      </c>
      <c r="H35" s="6">
        <f t="shared" si="0"/>
        <v>178.94736842105263</v>
      </c>
      <c r="I35" s="1"/>
    </row>
    <row r="36" spans="1:9" x14ac:dyDescent="0.3">
      <c r="A36" s="4" t="s">
        <v>11</v>
      </c>
      <c r="B36" s="1" t="s">
        <v>19</v>
      </c>
      <c r="C36" s="1" t="s">
        <v>25</v>
      </c>
      <c r="D36" s="1">
        <v>74</v>
      </c>
      <c r="E36" s="1">
        <v>62</v>
      </c>
      <c r="F36" s="1">
        <v>2</v>
      </c>
      <c r="G36" s="1">
        <v>3</v>
      </c>
      <c r="H36" s="6">
        <f t="shared" si="0"/>
        <v>119.35483870967742</v>
      </c>
      <c r="I36" s="1"/>
    </row>
    <row r="37" spans="1:9" x14ac:dyDescent="0.3">
      <c r="A37" s="4" t="s">
        <v>12</v>
      </c>
      <c r="B37" s="1" t="s">
        <v>19</v>
      </c>
      <c r="C37" s="1" t="s">
        <v>25</v>
      </c>
      <c r="D37" s="1">
        <v>68</v>
      </c>
      <c r="E37" s="1">
        <v>60</v>
      </c>
      <c r="F37" s="1">
        <v>8</v>
      </c>
      <c r="G37" s="1">
        <v>4</v>
      </c>
      <c r="H37" s="6">
        <f t="shared" si="0"/>
        <v>113.33333333333333</v>
      </c>
      <c r="I37" s="1"/>
    </row>
    <row r="38" spans="1:9" x14ac:dyDescent="0.3">
      <c r="A38" s="4" t="s">
        <v>13</v>
      </c>
      <c r="B38" s="1" t="s">
        <v>20</v>
      </c>
      <c r="C38" s="1" t="s">
        <v>25</v>
      </c>
      <c r="D38" s="1">
        <v>52</v>
      </c>
      <c r="E38" s="1">
        <v>52</v>
      </c>
      <c r="F38" s="1">
        <v>1</v>
      </c>
      <c r="G38" s="1">
        <v>5</v>
      </c>
      <c r="H38" s="6">
        <f t="shared" si="0"/>
        <v>100</v>
      </c>
      <c r="I38" s="1"/>
    </row>
    <row r="39" spans="1:9" x14ac:dyDescent="0.3">
      <c r="A39" s="4" t="s">
        <v>14</v>
      </c>
      <c r="B39" s="1" t="s">
        <v>20</v>
      </c>
      <c r="C39" s="1" t="s">
        <v>25</v>
      </c>
      <c r="D39" s="1">
        <v>34</v>
      </c>
      <c r="E39" s="1">
        <v>36</v>
      </c>
      <c r="F39" s="1">
        <v>5</v>
      </c>
      <c r="G39" s="1">
        <v>5</v>
      </c>
      <c r="H39" s="6">
        <f t="shared" si="0"/>
        <v>94.444444444444443</v>
      </c>
      <c r="I39" s="1"/>
    </row>
    <row r="40" spans="1:9" x14ac:dyDescent="0.3">
      <c r="A40" s="4" t="s">
        <v>15</v>
      </c>
      <c r="B40" s="1" t="s">
        <v>21</v>
      </c>
      <c r="C40" s="1" t="s">
        <v>25</v>
      </c>
      <c r="D40" s="1">
        <v>63</v>
      </c>
      <c r="E40" s="1">
        <v>28</v>
      </c>
      <c r="F40" s="1">
        <v>5</v>
      </c>
      <c r="G40" s="1">
        <v>3</v>
      </c>
      <c r="H40" s="6">
        <f t="shared" si="0"/>
        <v>225</v>
      </c>
      <c r="I40" s="1"/>
    </row>
    <row r="41" spans="1:9" x14ac:dyDescent="0.3">
      <c r="A41" s="4" t="s">
        <v>16</v>
      </c>
      <c r="B41" s="1" t="s">
        <v>21</v>
      </c>
      <c r="C41" s="1" t="s">
        <v>25</v>
      </c>
      <c r="D41" s="1">
        <v>40</v>
      </c>
      <c r="E41" s="1">
        <v>44</v>
      </c>
      <c r="F41" s="1">
        <v>1</v>
      </c>
      <c r="G41" s="1">
        <v>5</v>
      </c>
      <c r="H41" s="6">
        <f t="shared" si="0"/>
        <v>90.909090909090907</v>
      </c>
      <c r="I41" s="1"/>
    </row>
    <row r="42" spans="1:9" x14ac:dyDescent="0.3">
      <c r="A42" s="4" t="s">
        <v>7</v>
      </c>
      <c r="B42" s="1" t="s">
        <v>17</v>
      </c>
      <c r="C42" s="1" t="s">
        <v>26</v>
      </c>
      <c r="D42" s="1">
        <v>53</v>
      </c>
      <c r="E42" s="1">
        <v>49</v>
      </c>
      <c r="F42" s="1">
        <v>3</v>
      </c>
      <c r="G42" s="1">
        <v>4</v>
      </c>
      <c r="H42" s="6">
        <f t="shared" si="0"/>
        <v>108.16326530612245</v>
      </c>
      <c r="I42" s="1"/>
    </row>
    <row r="43" spans="1:9" x14ac:dyDescent="0.3">
      <c r="A43" s="4" t="s">
        <v>8</v>
      </c>
      <c r="B43" s="1" t="s">
        <v>17</v>
      </c>
      <c r="C43" s="1" t="s">
        <v>26</v>
      </c>
      <c r="D43" s="1">
        <v>33</v>
      </c>
      <c r="E43" s="1">
        <v>42</v>
      </c>
      <c r="F43" s="1">
        <v>5</v>
      </c>
      <c r="G43" s="1">
        <v>5</v>
      </c>
      <c r="H43" s="6">
        <f t="shared" si="0"/>
        <v>78.571428571428569</v>
      </c>
      <c r="I43" s="1"/>
    </row>
    <row r="44" spans="1:9" x14ac:dyDescent="0.3">
      <c r="A44" s="4" t="s">
        <v>9</v>
      </c>
      <c r="B44" s="1" t="s">
        <v>18</v>
      </c>
      <c r="C44" s="1" t="s">
        <v>26</v>
      </c>
      <c r="D44" s="1">
        <v>84</v>
      </c>
      <c r="E44" s="1">
        <v>53</v>
      </c>
      <c r="F44" s="1">
        <v>3</v>
      </c>
      <c r="G44" s="1">
        <v>2</v>
      </c>
      <c r="H44" s="6">
        <f t="shared" si="0"/>
        <v>158.49056603773585</v>
      </c>
      <c r="I44" s="1"/>
    </row>
    <row r="45" spans="1:9" x14ac:dyDescent="0.3">
      <c r="A45" s="4" t="s">
        <v>10</v>
      </c>
      <c r="B45" s="1" t="s">
        <v>18</v>
      </c>
      <c r="C45" s="1" t="s">
        <v>26</v>
      </c>
      <c r="D45" s="1">
        <v>40</v>
      </c>
      <c r="E45" s="1">
        <v>49</v>
      </c>
      <c r="F45" s="1">
        <v>9</v>
      </c>
      <c r="G45" s="1">
        <v>0</v>
      </c>
      <c r="H45" s="6">
        <f t="shared" si="0"/>
        <v>81.632653061224488</v>
      </c>
      <c r="I45" s="1"/>
    </row>
    <row r="46" spans="1:9" x14ac:dyDescent="0.3">
      <c r="A46" s="4" t="s">
        <v>11</v>
      </c>
      <c r="B46" s="1" t="s">
        <v>19</v>
      </c>
      <c r="C46" s="1" t="s">
        <v>26</v>
      </c>
      <c r="D46" s="1">
        <v>96</v>
      </c>
      <c r="E46" s="1">
        <v>73</v>
      </c>
      <c r="F46" s="1">
        <v>8</v>
      </c>
      <c r="G46" s="1">
        <v>0</v>
      </c>
      <c r="H46" s="6">
        <f t="shared" si="0"/>
        <v>131.50684931506848</v>
      </c>
      <c r="I46" s="1"/>
    </row>
    <row r="47" spans="1:9" x14ac:dyDescent="0.3">
      <c r="A47" s="4" t="s">
        <v>12</v>
      </c>
      <c r="B47" s="1" t="s">
        <v>19</v>
      </c>
      <c r="C47" s="1" t="s">
        <v>26</v>
      </c>
      <c r="D47" s="1">
        <v>34</v>
      </c>
      <c r="E47" s="1">
        <v>44</v>
      </c>
      <c r="F47" s="1">
        <v>6</v>
      </c>
      <c r="G47" s="1">
        <v>2</v>
      </c>
      <c r="H47" s="6">
        <f t="shared" si="0"/>
        <v>77.272727272727266</v>
      </c>
      <c r="I47" s="1"/>
    </row>
    <row r="48" spans="1:9" x14ac:dyDescent="0.3">
      <c r="A48" s="4" t="s">
        <v>13</v>
      </c>
      <c r="B48" s="1" t="s">
        <v>20</v>
      </c>
      <c r="C48" s="1" t="s">
        <v>26</v>
      </c>
      <c r="D48" s="1">
        <v>50</v>
      </c>
      <c r="E48" s="1">
        <v>19</v>
      </c>
      <c r="F48" s="1">
        <v>4</v>
      </c>
      <c r="G48" s="1">
        <v>4</v>
      </c>
      <c r="H48" s="6">
        <f t="shared" si="0"/>
        <v>263.15789473684214</v>
      </c>
      <c r="I48" s="1"/>
    </row>
    <row r="49" spans="1:9" x14ac:dyDescent="0.3">
      <c r="A49" s="4" t="s">
        <v>14</v>
      </c>
      <c r="B49" s="1" t="s">
        <v>20</v>
      </c>
      <c r="C49" s="1" t="s">
        <v>26</v>
      </c>
      <c r="D49" s="1">
        <v>30</v>
      </c>
      <c r="E49" s="1">
        <v>17</v>
      </c>
      <c r="F49" s="1">
        <v>6</v>
      </c>
      <c r="G49" s="1">
        <v>3</v>
      </c>
      <c r="H49" s="6">
        <f t="shared" si="0"/>
        <v>176.47058823529412</v>
      </c>
      <c r="I49" s="1"/>
    </row>
    <row r="50" spans="1:9" x14ac:dyDescent="0.3">
      <c r="A50" s="4" t="s">
        <v>15</v>
      </c>
      <c r="B50" s="1" t="s">
        <v>21</v>
      </c>
      <c r="C50" s="1" t="s">
        <v>26</v>
      </c>
      <c r="D50" s="1">
        <v>28</v>
      </c>
      <c r="E50" s="1">
        <v>32</v>
      </c>
      <c r="F50" s="1">
        <v>7</v>
      </c>
      <c r="G50" s="1">
        <v>1</v>
      </c>
      <c r="H50" s="6">
        <f t="shared" si="0"/>
        <v>87.5</v>
      </c>
      <c r="I50" s="1"/>
    </row>
    <row r="51" spans="1:9" x14ac:dyDescent="0.3">
      <c r="A51" s="4" t="s">
        <v>16</v>
      </c>
      <c r="B51" s="1" t="s">
        <v>21</v>
      </c>
      <c r="C51" s="1" t="s">
        <v>26</v>
      </c>
      <c r="D51" s="1">
        <v>36</v>
      </c>
      <c r="E51" s="1">
        <v>45</v>
      </c>
      <c r="F51" s="1">
        <v>9</v>
      </c>
      <c r="G51" s="1">
        <v>1</v>
      </c>
      <c r="H51" s="6">
        <f t="shared" si="0"/>
        <v>80</v>
      </c>
      <c r="I51" s="1"/>
    </row>
    <row r="52" spans="1:9" x14ac:dyDescent="0.3">
      <c r="A52" s="4" t="s">
        <v>7</v>
      </c>
      <c r="B52" s="1" t="s">
        <v>17</v>
      </c>
      <c r="C52" s="1" t="s">
        <v>27</v>
      </c>
      <c r="D52" s="1">
        <v>53</v>
      </c>
      <c r="E52" s="1">
        <v>50</v>
      </c>
      <c r="F52" s="1">
        <v>10</v>
      </c>
      <c r="G52" s="1">
        <v>3</v>
      </c>
      <c r="H52" s="6">
        <f t="shared" si="0"/>
        <v>106</v>
      </c>
      <c r="I52" s="1"/>
    </row>
    <row r="53" spans="1:9" x14ac:dyDescent="0.3">
      <c r="A53" s="4" t="s">
        <v>8</v>
      </c>
      <c r="B53" s="1" t="s">
        <v>17</v>
      </c>
      <c r="C53" s="1" t="s">
        <v>27</v>
      </c>
      <c r="D53" s="1">
        <v>47</v>
      </c>
      <c r="E53" s="1">
        <v>49</v>
      </c>
      <c r="F53" s="1">
        <v>4</v>
      </c>
      <c r="G53" s="1">
        <v>5</v>
      </c>
      <c r="H53" s="6">
        <f t="shared" si="0"/>
        <v>95.918367346938766</v>
      </c>
      <c r="I53" s="1"/>
    </row>
    <row r="54" spans="1:9" x14ac:dyDescent="0.3">
      <c r="A54" s="4" t="s">
        <v>9</v>
      </c>
      <c r="B54" s="1" t="s">
        <v>18</v>
      </c>
      <c r="C54" s="1" t="s">
        <v>27</v>
      </c>
      <c r="D54" s="1">
        <v>59</v>
      </c>
      <c r="E54" s="1">
        <v>44</v>
      </c>
      <c r="F54" s="1">
        <v>11</v>
      </c>
      <c r="G54" s="1">
        <v>5</v>
      </c>
      <c r="H54" s="6">
        <f t="shared" si="0"/>
        <v>134.09090909090909</v>
      </c>
      <c r="I54" s="1"/>
    </row>
    <row r="55" spans="1:9" x14ac:dyDescent="0.3">
      <c r="A55" s="4" t="s">
        <v>10</v>
      </c>
      <c r="B55" s="1" t="s">
        <v>18</v>
      </c>
      <c r="C55" s="1" t="s">
        <v>27</v>
      </c>
      <c r="D55" s="1">
        <v>67</v>
      </c>
      <c r="E55" s="1">
        <v>50</v>
      </c>
      <c r="F55" s="1">
        <v>9</v>
      </c>
      <c r="G55" s="1">
        <v>3</v>
      </c>
      <c r="H55" s="6">
        <f t="shared" si="0"/>
        <v>134</v>
      </c>
      <c r="I55" s="1"/>
    </row>
    <row r="56" spans="1:9" x14ac:dyDescent="0.3">
      <c r="A56" s="4" t="s">
        <v>11</v>
      </c>
      <c r="B56" s="1" t="s">
        <v>19</v>
      </c>
      <c r="C56" s="1" t="s">
        <v>27</v>
      </c>
      <c r="D56" s="1">
        <v>35</v>
      </c>
      <c r="E56" s="1">
        <v>22</v>
      </c>
      <c r="F56" s="1">
        <v>4</v>
      </c>
      <c r="G56" s="1">
        <v>0</v>
      </c>
      <c r="H56" s="6">
        <f t="shared" si="0"/>
        <v>159.09090909090909</v>
      </c>
      <c r="I56" s="1"/>
    </row>
    <row r="57" spans="1:9" x14ac:dyDescent="0.3">
      <c r="A57" s="4" t="s">
        <v>12</v>
      </c>
      <c r="B57" s="1" t="s">
        <v>19</v>
      </c>
      <c r="C57" s="1" t="s">
        <v>27</v>
      </c>
      <c r="D57" s="1">
        <v>63</v>
      </c>
      <c r="E57" s="1">
        <v>22</v>
      </c>
      <c r="F57" s="1">
        <v>10</v>
      </c>
      <c r="G57" s="1">
        <v>4</v>
      </c>
      <c r="H57" s="6">
        <f t="shared" si="0"/>
        <v>286.36363636363637</v>
      </c>
      <c r="I57" s="1"/>
    </row>
    <row r="58" spans="1:9" x14ac:dyDescent="0.3">
      <c r="A58" s="4" t="s">
        <v>13</v>
      </c>
      <c r="B58" s="1" t="s">
        <v>20</v>
      </c>
      <c r="C58" s="1" t="s">
        <v>27</v>
      </c>
      <c r="D58" s="1">
        <v>49</v>
      </c>
      <c r="E58" s="1">
        <v>53</v>
      </c>
      <c r="F58" s="1">
        <v>4</v>
      </c>
      <c r="G58" s="1">
        <v>0</v>
      </c>
      <c r="H58" s="6">
        <f t="shared" si="0"/>
        <v>92.452830188679243</v>
      </c>
      <c r="I58" s="1"/>
    </row>
    <row r="59" spans="1:9" x14ac:dyDescent="0.3">
      <c r="A59" s="4" t="s">
        <v>14</v>
      </c>
      <c r="B59" s="1" t="s">
        <v>20</v>
      </c>
      <c r="C59" s="1" t="s">
        <v>27</v>
      </c>
      <c r="D59" s="1">
        <v>29</v>
      </c>
      <c r="E59" s="1">
        <v>37</v>
      </c>
      <c r="F59" s="1">
        <v>6</v>
      </c>
      <c r="G59" s="1">
        <v>0</v>
      </c>
      <c r="H59" s="6">
        <f t="shared" si="0"/>
        <v>78.378378378378372</v>
      </c>
      <c r="I59" s="1"/>
    </row>
    <row r="60" spans="1:9" x14ac:dyDescent="0.3">
      <c r="A60" s="4" t="s">
        <v>15</v>
      </c>
      <c r="B60" s="1" t="s">
        <v>21</v>
      </c>
      <c r="C60" s="1" t="s">
        <v>27</v>
      </c>
      <c r="D60" s="1">
        <v>49</v>
      </c>
      <c r="E60" s="1">
        <v>20</v>
      </c>
      <c r="F60" s="1">
        <v>1</v>
      </c>
      <c r="G60" s="1">
        <v>6</v>
      </c>
      <c r="H60" s="6">
        <f t="shared" si="0"/>
        <v>245.00000000000003</v>
      </c>
      <c r="I60" s="1"/>
    </row>
    <row r="61" spans="1:9" x14ac:dyDescent="0.3">
      <c r="A61" s="4" t="s">
        <v>16</v>
      </c>
      <c r="B61" s="1" t="s">
        <v>21</v>
      </c>
      <c r="C61" s="1" t="s">
        <v>27</v>
      </c>
      <c r="D61" s="1">
        <v>62</v>
      </c>
      <c r="E61" s="1">
        <v>24</v>
      </c>
      <c r="F61" s="1">
        <v>9</v>
      </c>
      <c r="G61" s="1">
        <v>1</v>
      </c>
      <c r="H61" s="6">
        <f t="shared" si="0"/>
        <v>258.33333333333337</v>
      </c>
      <c r="I61" s="1"/>
    </row>
    <row r="62" spans="1:9" x14ac:dyDescent="0.3">
      <c r="A62" s="4" t="s">
        <v>7</v>
      </c>
      <c r="B62" s="1" t="s">
        <v>17</v>
      </c>
      <c r="C62" s="1" t="s">
        <v>28</v>
      </c>
      <c r="D62" s="1">
        <v>55</v>
      </c>
      <c r="E62" s="1">
        <v>60</v>
      </c>
      <c r="F62" s="1">
        <v>8</v>
      </c>
      <c r="G62" s="1">
        <v>1</v>
      </c>
      <c r="H62" s="6">
        <f t="shared" si="0"/>
        <v>91.666666666666657</v>
      </c>
      <c r="I62" s="1"/>
    </row>
    <row r="63" spans="1:9" x14ac:dyDescent="0.3">
      <c r="A63" s="4" t="s">
        <v>8</v>
      </c>
      <c r="B63" s="1" t="s">
        <v>17</v>
      </c>
      <c r="C63" s="1" t="s">
        <v>28</v>
      </c>
      <c r="D63" s="1">
        <v>89</v>
      </c>
      <c r="E63" s="1">
        <v>45</v>
      </c>
      <c r="F63" s="1">
        <v>12</v>
      </c>
      <c r="G63" s="1">
        <v>4</v>
      </c>
      <c r="H63" s="6">
        <f t="shared" si="0"/>
        <v>197.77777777777777</v>
      </c>
      <c r="I63" s="1"/>
    </row>
    <row r="64" spans="1:9" x14ac:dyDescent="0.3">
      <c r="A64" s="4" t="s">
        <v>9</v>
      </c>
      <c r="B64" s="1" t="s">
        <v>18</v>
      </c>
      <c r="C64" s="1" t="s">
        <v>28</v>
      </c>
      <c r="D64" s="1">
        <v>93</v>
      </c>
      <c r="E64" s="1">
        <v>91</v>
      </c>
      <c r="F64" s="1">
        <v>4</v>
      </c>
      <c r="G64" s="1">
        <v>6</v>
      </c>
      <c r="H64" s="6">
        <f t="shared" si="0"/>
        <v>102.19780219780219</v>
      </c>
      <c r="I64" s="1"/>
    </row>
    <row r="65" spans="1:9" x14ac:dyDescent="0.3">
      <c r="A65" s="4" t="s">
        <v>10</v>
      </c>
      <c r="B65" s="1" t="s">
        <v>18</v>
      </c>
      <c r="C65" s="1" t="s">
        <v>28</v>
      </c>
      <c r="D65" s="1">
        <v>80</v>
      </c>
      <c r="E65" s="1">
        <v>78</v>
      </c>
      <c r="F65" s="1">
        <v>4</v>
      </c>
      <c r="G65" s="1">
        <v>0</v>
      </c>
      <c r="H65" s="6">
        <f t="shared" si="0"/>
        <v>102.56410256410255</v>
      </c>
      <c r="I65" s="1"/>
    </row>
    <row r="66" spans="1:9" x14ac:dyDescent="0.3">
      <c r="A66" s="4" t="s">
        <v>11</v>
      </c>
      <c r="B66" s="1" t="s">
        <v>19</v>
      </c>
      <c r="C66" s="1" t="s">
        <v>28</v>
      </c>
      <c r="D66" s="1">
        <v>32</v>
      </c>
      <c r="E66" s="1">
        <v>36</v>
      </c>
      <c r="F66" s="1">
        <v>7</v>
      </c>
      <c r="G66" s="1">
        <v>2</v>
      </c>
      <c r="H66" s="6">
        <f t="shared" si="0"/>
        <v>88.888888888888886</v>
      </c>
      <c r="I66" s="1"/>
    </row>
    <row r="67" spans="1:9" x14ac:dyDescent="0.3">
      <c r="A67" s="4" t="s">
        <v>12</v>
      </c>
      <c r="B67" s="1" t="s">
        <v>19</v>
      </c>
      <c r="C67" s="1" t="s">
        <v>28</v>
      </c>
      <c r="D67" s="1">
        <v>74</v>
      </c>
      <c r="E67" s="1">
        <v>50</v>
      </c>
      <c r="F67" s="1">
        <v>8</v>
      </c>
      <c r="G67" s="1">
        <v>6</v>
      </c>
      <c r="H67" s="6">
        <f t="shared" ref="H67:H101" si="1">(D67/E67)*100</f>
        <v>148</v>
      </c>
      <c r="I67" s="1"/>
    </row>
    <row r="68" spans="1:9" x14ac:dyDescent="0.3">
      <c r="A68" s="4" t="s">
        <v>13</v>
      </c>
      <c r="B68" s="1" t="s">
        <v>20</v>
      </c>
      <c r="C68" s="1" t="s">
        <v>28</v>
      </c>
      <c r="D68" s="1">
        <v>26</v>
      </c>
      <c r="E68" s="1">
        <v>36</v>
      </c>
      <c r="F68" s="1">
        <v>6</v>
      </c>
      <c r="G68" s="1">
        <v>0</v>
      </c>
      <c r="H68" s="6">
        <f t="shared" si="1"/>
        <v>72.222222222222214</v>
      </c>
      <c r="I68" s="1"/>
    </row>
    <row r="69" spans="1:9" x14ac:dyDescent="0.3">
      <c r="A69" s="4" t="s">
        <v>14</v>
      </c>
      <c r="B69" s="1" t="s">
        <v>20</v>
      </c>
      <c r="C69" s="1" t="s">
        <v>28</v>
      </c>
      <c r="D69" s="1">
        <v>27</v>
      </c>
      <c r="E69" s="1">
        <v>27</v>
      </c>
      <c r="F69" s="1">
        <v>6</v>
      </c>
      <c r="G69" s="1">
        <v>2</v>
      </c>
      <c r="H69" s="6">
        <f t="shared" si="1"/>
        <v>100</v>
      </c>
      <c r="I69" s="1"/>
    </row>
    <row r="70" spans="1:9" x14ac:dyDescent="0.3">
      <c r="A70" s="4" t="s">
        <v>15</v>
      </c>
      <c r="B70" s="1" t="s">
        <v>21</v>
      </c>
      <c r="C70" s="1" t="s">
        <v>28</v>
      </c>
      <c r="D70" s="1">
        <v>33</v>
      </c>
      <c r="E70" s="1">
        <v>22</v>
      </c>
      <c r="F70" s="1">
        <v>4</v>
      </c>
      <c r="G70" s="1">
        <v>1</v>
      </c>
      <c r="H70" s="6">
        <f t="shared" si="1"/>
        <v>150</v>
      </c>
      <c r="I70" s="1"/>
    </row>
    <row r="71" spans="1:9" x14ac:dyDescent="0.3">
      <c r="A71" s="4" t="s">
        <v>16</v>
      </c>
      <c r="B71" s="1" t="s">
        <v>21</v>
      </c>
      <c r="C71" s="1" t="s">
        <v>28</v>
      </c>
      <c r="D71" s="1">
        <v>88</v>
      </c>
      <c r="E71" s="1">
        <v>86</v>
      </c>
      <c r="F71" s="1">
        <v>3</v>
      </c>
      <c r="G71" s="1">
        <v>3</v>
      </c>
      <c r="H71" s="6">
        <f t="shared" si="1"/>
        <v>102.32558139534885</v>
      </c>
      <c r="I71" s="1"/>
    </row>
    <row r="72" spans="1:9" x14ac:dyDescent="0.3">
      <c r="A72" s="4" t="s">
        <v>7</v>
      </c>
      <c r="B72" s="1" t="s">
        <v>17</v>
      </c>
      <c r="C72" s="1" t="s">
        <v>29</v>
      </c>
      <c r="D72" s="1">
        <v>43</v>
      </c>
      <c r="E72" s="1">
        <v>32</v>
      </c>
      <c r="F72" s="1">
        <v>8</v>
      </c>
      <c r="G72" s="1">
        <v>1</v>
      </c>
      <c r="H72" s="6">
        <f t="shared" si="1"/>
        <v>134.375</v>
      </c>
      <c r="I72" s="1"/>
    </row>
    <row r="73" spans="1:9" x14ac:dyDescent="0.3">
      <c r="A73" s="4" t="s">
        <v>8</v>
      </c>
      <c r="B73" s="1" t="s">
        <v>17</v>
      </c>
      <c r="C73" s="1" t="s">
        <v>29</v>
      </c>
      <c r="D73" s="1">
        <v>29</v>
      </c>
      <c r="E73" s="1">
        <v>29</v>
      </c>
      <c r="F73" s="1">
        <v>7</v>
      </c>
      <c r="G73" s="1">
        <v>4</v>
      </c>
      <c r="H73" s="6">
        <f t="shared" si="1"/>
        <v>100</v>
      </c>
      <c r="I73" s="1"/>
    </row>
    <row r="74" spans="1:9" x14ac:dyDescent="0.3">
      <c r="A74" s="4" t="s">
        <v>9</v>
      </c>
      <c r="B74" s="1" t="s">
        <v>18</v>
      </c>
      <c r="C74" s="1" t="s">
        <v>29</v>
      </c>
      <c r="D74" s="1">
        <v>32</v>
      </c>
      <c r="E74" s="1">
        <v>16</v>
      </c>
      <c r="F74" s="1">
        <v>1</v>
      </c>
      <c r="G74" s="1">
        <v>0</v>
      </c>
      <c r="H74" s="6">
        <f t="shared" si="1"/>
        <v>200</v>
      </c>
      <c r="I74" s="1"/>
    </row>
    <row r="75" spans="1:9" x14ac:dyDescent="0.3">
      <c r="A75" s="4" t="s">
        <v>10</v>
      </c>
      <c r="B75" s="1" t="s">
        <v>18</v>
      </c>
      <c r="C75" s="1" t="s">
        <v>29</v>
      </c>
      <c r="D75" s="1">
        <v>50</v>
      </c>
      <c r="E75" s="1">
        <v>26</v>
      </c>
      <c r="F75" s="1">
        <v>7</v>
      </c>
      <c r="G75" s="1">
        <v>3</v>
      </c>
      <c r="H75" s="6">
        <f t="shared" si="1"/>
        <v>192.30769230769232</v>
      </c>
      <c r="I75" s="1"/>
    </row>
    <row r="76" spans="1:9" x14ac:dyDescent="0.3">
      <c r="A76" s="4" t="s">
        <v>11</v>
      </c>
      <c r="B76" s="1" t="s">
        <v>19</v>
      </c>
      <c r="C76" s="1" t="s">
        <v>29</v>
      </c>
      <c r="D76" s="1">
        <v>81</v>
      </c>
      <c r="E76" s="1">
        <v>54</v>
      </c>
      <c r="F76" s="1">
        <v>7</v>
      </c>
      <c r="G76" s="1">
        <v>0</v>
      </c>
      <c r="H76" s="6">
        <f t="shared" si="1"/>
        <v>150</v>
      </c>
      <c r="I76" s="1"/>
    </row>
    <row r="77" spans="1:9" x14ac:dyDescent="0.3">
      <c r="A77" s="4" t="s">
        <v>12</v>
      </c>
      <c r="B77" s="1" t="s">
        <v>19</v>
      </c>
      <c r="C77" s="1" t="s">
        <v>29</v>
      </c>
      <c r="D77" s="1">
        <v>41</v>
      </c>
      <c r="E77" s="1">
        <v>39</v>
      </c>
      <c r="F77" s="1">
        <v>1</v>
      </c>
      <c r="G77" s="1">
        <v>3</v>
      </c>
      <c r="H77" s="6">
        <f t="shared" si="1"/>
        <v>105.12820512820514</v>
      </c>
      <c r="I77" s="1"/>
    </row>
    <row r="78" spans="1:9" x14ac:dyDescent="0.3">
      <c r="A78" s="4" t="s">
        <v>13</v>
      </c>
      <c r="B78" s="1" t="s">
        <v>20</v>
      </c>
      <c r="C78" s="1" t="s">
        <v>29</v>
      </c>
      <c r="D78" s="1">
        <v>53</v>
      </c>
      <c r="E78" s="1">
        <v>46</v>
      </c>
      <c r="F78" s="1">
        <v>5</v>
      </c>
      <c r="G78" s="1">
        <v>3</v>
      </c>
      <c r="H78" s="6">
        <f t="shared" si="1"/>
        <v>115.21739130434783</v>
      </c>
      <c r="I78" s="1"/>
    </row>
    <row r="79" spans="1:9" x14ac:dyDescent="0.3">
      <c r="A79" s="4" t="s">
        <v>14</v>
      </c>
      <c r="B79" s="1" t="s">
        <v>20</v>
      </c>
      <c r="C79" s="1" t="s">
        <v>29</v>
      </c>
      <c r="D79" s="1">
        <v>91</v>
      </c>
      <c r="E79" s="1">
        <v>92</v>
      </c>
      <c r="F79" s="1">
        <v>3</v>
      </c>
      <c r="G79" s="1">
        <v>1</v>
      </c>
      <c r="H79" s="6">
        <f t="shared" si="1"/>
        <v>98.91304347826086</v>
      </c>
      <c r="I79" s="1"/>
    </row>
    <row r="80" spans="1:9" x14ac:dyDescent="0.3">
      <c r="A80" s="4" t="s">
        <v>15</v>
      </c>
      <c r="B80" s="1" t="s">
        <v>21</v>
      </c>
      <c r="C80" s="1" t="s">
        <v>29</v>
      </c>
      <c r="D80" s="1">
        <v>57</v>
      </c>
      <c r="E80" s="1">
        <v>32</v>
      </c>
      <c r="F80" s="1">
        <v>1</v>
      </c>
      <c r="G80" s="1">
        <v>4</v>
      </c>
      <c r="H80" s="6">
        <f t="shared" si="1"/>
        <v>178.125</v>
      </c>
      <c r="I80" s="1"/>
    </row>
    <row r="81" spans="1:9" x14ac:dyDescent="0.3">
      <c r="A81" s="4" t="s">
        <v>16</v>
      </c>
      <c r="B81" s="1" t="s">
        <v>21</v>
      </c>
      <c r="C81" s="1" t="s">
        <v>29</v>
      </c>
      <c r="D81" s="1">
        <v>89</v>
      </c>
      <c r="E81" s="1">
        <v>36</v>
      </c>
      <c r="F81" s="1">
        <v>12</v>
      </c>
      <c r="G81" s="1">
        <v>2</v>
      </c>
      <c r="H81" s="6">
        <f t="shared" si="1"/>
        <v>247.22222222222223</v>
      </c>
      <c r="I81" s="1"/>
    </row>
    <row r="82" spans="1:9" x14ac:dyDescent="0.3">
      <c r="A82" s="4" t="s">
        <v>7</v>
      </c>
      <c r="B82" s="1" t="s">
        <v>17</v>
      </c>
      <c r="C82" s="1" t="s">
        <v>30</v>
      </c>
      <c r="D82" s="1">
        <v>27</v>
      </c>
      <c r="E82" s="1">
        <v>16</v>
      </c>
      <c r="F82" s="1">
        <v>5</v>
      </c>
      <c r="G82" s="1">
        <v>3</v>
      </c>
      <c r="H82" s="6">
        <f t="shared" si="1"/>
        <v>168.75</v>
      </c>
      <c r="I82" s="1"/>
    </row>
    <row r="83" spans="1:9" x14ac:dyDescent="0.3">
      <c r="A83" s="4" t="s">
        <v>8</v>
      </c>
      <c r="B83" s="1" t="s">
        <v>17</v>
      </c>
      <c r="C83" s="1" t="s">
        <v>30</v>
      </c>
      <c r="D83" s="1">
        <v>84</v>
      </c>
      <c r="E83" s="1">
        <v>48</v>
      </c>
      <c r="F83" s="1">
        <v>1</v>
      </c>
      <c r="G83" s="1">
        <v>4</v>
      </c>
      <c r="H83" s="6">
        <f t="shared" si="1"/>
        <v>175</v>
      </c>
      <c r="I83" s="1"/>
    </row>
    <row r="84" spans="1:9" x14ac:dyDescent="0.3">
      <c r="A84" s="4" t="s">
        <v>9</v>
      </c>
      <c r="B84" s="1" t="s">
        <v>18</v>
      </c>
      <c r="C84" s="1" t="s">
        <v>30</v>
      </c>
      <c r="D84" s="1">
        <v>30</v>
      </c>
      <c r="E84" s="1">
        <v>20</v>
      </c>
      <c r="F84" s="1">
        <v>1</v>
      </c>
      <c r="G84" s="1">
        <v>4</v>
      </c>
      <c r="H84" s="6">
        <f t="shared" si="1"/>
        <v>150</v>
      </c>
      <c r="I84" s="1"/>
    </row>
    <row r="85" spans="1:9" x14ac:dyDescent="0.3">
      <c r="A85" s="4" t="s">
        <v>10</v>
      </c>
      <c r="B85" s="1" t="s">
        <v>18</v>
      </c>
      <c r="C85" s="1" t="s">
        <v>30</v>
      </c>
      <c r="D85" s="1">
        <v>28</v>
      </c>
      <c r="E85" s="1">
        <v>36</v>
      </c>
      <c r="F85" s="1">
        <v>7</v>
      </c>
      <c r="G85" s="1">
        <v>1</v>
      </c>
      <c r="H85" s="6">
        <f t="shared" si="1"/>
        <v>77.777777777777786</v>
      </c>
      <c r="I85" s="1"/>
    </row>
    <row r="86" spans="1:9" x14ac:dyDescent="0.3">
      <c r="A86" s="4" t="s">
        <v>11</v>
      </c>
      <c r="B86" s="1" t="s">
        <v>19</v>
      </c>
      <c r="C86" s="1" t="s">
        <v>30</v>
      </c>
      <c r="D86" s="1">
        <v>71</v>
      </c>
      <c r="E86" s="1">
        <v>30</v>
      </c>
      <c r="F86" s="1">
        <v>10</v>
      </c>
      <c r="G86" s="1">
        <v>1</v>
      </c>
      <c r="H86" s="6">
        <f t="shared" si="1"/>
        <v>236.66666666666666</v>
      </c>
      <c r="I86" s="1"/>
    </row>
    <row r="87" spans="1:9" x14ac:dyDescent="0.3">
      <c r="A87" s="4" t="s">
        <v>12</v>
      </c>
      <c r="B87" s="1" t="s">
        <v>19</v>
      </c>
      <c r="C87" s="1" t="s">
        <v>30</v>
      </c>
      <c r="D87" s="1">
        <v>94</v>
      </c>
      <c r="E87" s="1">
        <v>36</v>
      </c>
      <c r="F87" s="1">
        <v>10</v>
      </c>
      <c r="G87" s="1">
        <v>0</v>
      </c>
      <c r="H87" s="6">
        <f t="shared" si="1"/>
        <v>261.11111111111114</v>
      </c>
      <c r="I87" s="1"/>
    </row>
    <row r="88" spans="1:9" x14ac:dyDescent="0.3">
      <c r="A88" s="4" t="s">
        <v>13</v>
      </c>
      <c r="B88" s="1" t="s">
        <v>20</v>
      </c>
      <c r="C88" s="1" t="s">
        <v>30</v>
      </c>
      <c r="D88" s="1">
        <v>73</v>
      </c>
      <c r="E88" s="1">
        <v>66</v>
      </c>
      <c r="F88" s="1">
        <v>10</v>
      </c>
      <c r="G88" s="1">
        <v>4</v>
      </c>
      <c r="H88" s="6">
        <f t="shared" si="1"/>
        <v>110.60606060606059</v>
      </c>
      <c r="I88" s="1"/>
    </row>
    <row r="89" spans="1:9" x14ac:dyDescent="0.3">
      <c r="A89" s="4" t="s">
        <v>14</v>
      </c>
      <c r="B89" s="1" t="s">
        <v>20</v>
      </c>
      <c r="C89" s="1" t="s">
        <v>30</v>
      </c>
      <c r="D89" s="1">
        <v>86</v>
      </c>
      <c r="E89" s="1">
        <v>68</v>
      </c>
      <c r="F89" s="1">
        <v>5</v>
      </c>
      <c r="G89" s="1">
        <v>1</v>
      </c>
      <c r="H89" s="6">
        <f t="shared" si="1"/>
        <v>126.47058823529412</v>
      </c>
      <c r="I89" s="1"/>
    </row>
    <row r="90" spans="1:9" x14ac:dyDescent="0.3">
      <c r="A90" s="4" t="s">
        <v>15</v>
      </c>
      <c r="B90" s="1" t="s">
        <v>21</v>
      </c>
      <c r="C90" s="1" t="s">
        <v>30</v>
      </c>
      <c r="D90" s="1">
        <v>60</v>
      </c>
      <c r="E90" s="1">
        <v>35</v>
      </c>
      <c r="F90" s="1">
        <v>5</v>
      </c>
      <c r="G90" s="1">
        <v>3</v>
      </c>
      <c r="H90" s="6">
        <f t="shared" si="1"/>
        <v>171.42857142857142</v>
      </c>
      <c r="I90" s="1"/>
    </row>
    <row r="91" spans="1:9" x14ac:dyDescent="0.3">
      <c r="A91" s="4" t="s">
        <v>16</v>
      </c>
      <c r="B91" s="1" t="s">
        <v>21</v>
      </c>
      <c r="C91" s="1" t="s">
        <v>30</v>
      </c>
      <c r="D91" s="1">
        <v>36</v>
      </c>
      <c r="E91" s="1">
        <v>34</v>
      </c>
      <c r="F91" s="1">
        <v>8</v>
      </c>
      <c r="G91" s="1">
        <v>2</v>
      </c>
      <c r="H91" s="6">
        <f t="shared" si="1"/>
        <v>105.88235294117648</v>
      </c>
      <c r="I91" s="1"/>
    </row>
    <row r="92" spans="1:9" x14ac:dyDescent="0.3">
      <c r="A92" s="4" t="s">
        <v>7</v>
      </c>
      <c r="B92" s="1" t="s">
        <v>17</v>
      </c>
      <c r="C92" s="1" t="s">
        <v>31</v>
      </c>
      <c r="D92" s="1">
        <v>29</v>
      </c>
      <c r="E92" s="1">
        <v>15</v>
      </c>
      <c r="F92" s="1">
        <v>4</v>
      </c>
      <c r="G92" s="1">
        <v>4</v>
      </c>
      <c r="H92" s="6">
        <f t="shared" si="1"/>
        <v>193.33333333333334</v>
      </c>
      <c r="I92" s="1"/>
    </row>
    <row r="93" spans="1:9" x14ac:dyDescent="0.3">
      <c r="A93" s="4" t="s">
        <v>8</v>
      </c>
      <c r="B93" s="1" t="s">
        <v>17</v>
      </c>
      <c r="C93" s="1" t="s">
        <v>31</v>
      </c>
      <c r="D93" s="1">
        <v>92</v>
      </c>
      <c r="E93" s="1">
        <v>42</v>
      </c>
      <c r="F93" s="1">
        <v>2</v>
      </c>
      <c r="G93" s="1">
        <v>4</v>
      </c>
      <c r="H93" s="6">
        <f t="shared" si="1"/>
        <v>219.04761904761907</v>
      </c>
      <c r="I93" s="1"/>
    </row>
    <row r="94" spans="1:9" x14ac:dyDescent="0.3">
      <c r="A94" s="4" t="s">
        <v>9</v>
      </c>
      <c r="B94" s="1" t="s">
        <v>18</v>
      </c>
      <c r="C94" s="1" t="s">
        <v>31</v>
      </c>
      <c r="D94" s="1">
        <v>47</v>
      </c>
      <c r="E94" s="1">
        <v>47</v>
      </c>
      <c r="F94" s="1">
        <v>5</v>
      </c>
      <c r="G94" s="1">
        <v>1</v>
      </c>
      <c r="H94" s="6">
        <f t="shared" si="1"/>
        <v>100</v>
      </c>
      <c r="I94" s="1"/>
    </row>
    <row r="95" spans="1:9" x14ac:dyDescent="0.3">
      <c r="A95" s="4" t="s">
        <v>10</v>
      </c>
      <c r="B95" s="1" t="s">
        <v>18</v>
      </c>
      <c r="C95" s="1" t="s">
        <v>31</v>
      </c>
      <c r="D95" s="1">
        <v>64</v>
      </c>
      <c r="E95" s="1">
        <v>25</v>
      </c>
      <c r="F95" s="1">
        <v>4</v>
      </c>
      <c r="G95" s="1">
        <v>2</v>
      </c>
      <c r="H95" s="6">
        <f t="shared" si="1"/>
        <v>256</v>
      </c>
      <c r="I95" s="1"/>
    </row>
    <row r="96" spans="1:9" x14ac:dyDescent="0.3">
      <c r="A96" s="4" t="s">
        <v>11</v>
      </c>
      <c r="B96" s="1" t="s">
        <v>19</v>
      </c>
      <c r="C96" s="1" t="s">
        <v>31</v>
      </c>
      <c r="D96" s="1">
        <v>56</v>
      </c>
      <c r="E96" s="1">
        <v>28</v>
      </c>
      <c r="F96" s="1">
        <v>8</v>
      </c>
      <c r="G96" s="1">
        <v>6</v>
      </c>
      <c r="H96" s="6">
        <f t="shared" si="1"/>
        <v>200</v>
      </c>
      <c r="I96" s="1"/>
    </row>
    <row r="97" spans="1:9" x14ac:dyDescent="0.3">
      <c r="A97" s="4" t="s">
        <v>12</v>
      </c>
      <c r="B97" s="1" t="s">
        <v>19</v>
      </c>
      <c r="C97" s="1" t="s">
        <v>31</v>
      </c>
      <c r="D97" s="1">
        <v>89</v>
      </c>
      <c r="E97" s="1">
        <v>67</v>
      </c>
      <c r="F97" s="1">
        <v>10</v>
      </c>
      <c r="G97" s="1">
        <v>6</v>
      </c>
      <c r="H97" s="6">
        <f t="shared" si="1"/>
        <v>132.8358208955224</v>
      </c>
      <c r="I97" s="1"/>
    </row>
    <row r="98" spans="1:9" x14ac:dyDescent="0.3">
      <c r="A98" s="4" t="s">
        <v>13</v>
      </c>
      <c r="B98" s="1" t="s">
        <v>20</v>
      </c>
      <c r="C98" s="1" t="s">
        <v>31</v>
      </c>
      <c r="D98" s="1">
        <v>87</v>
      </c>
      <c r="E98" s="1">
        <v>30</v>
      </c>
      <c r="F98" s="1">
        <v>11</v>
      </c>
      <c r="G98" s="1">
        <v>6</v>
      </c>
      <c r="H98" s="6">
        <f t="shared" si="1"/>
        <v>290</v>
      </c>
      <c r="I98" s="1"/>
    </row>
    <row r="99" spans="1:9" x14ac:dyDescent="0.3">
      <c r="A99" s="4" t="s">
        <v>14</v>
      </c>
      <c r="B99" s="1" t="s">
        <v>20</v>
      </c>
      <c r="C99" s="1" t="s">
        <v>31</v>
      </c>
      <c r="D99" s="1">
        <v>90</v>
      </c>
      <c r="E99" s="1">
        <v>68</v>
      </c>
      <c r="F99" s="1">
        <v>11</v>
      </c>
      <c r="G99" s="1">
        <v>0</v>
      </c>
      <c r="H99" s="6">
        <f t="shared" si="1"/>
        <v>132.35294117647058</v>
      </c>
      <c r="I99" s="1"/>
    </row>
    <row r="100" spans="1:9" x14ac:dyDescent="0.3">
      <c r="A100" s="4" t="s">
        <v>15</v>
      </c>
      <c r="B100" s="1" t="s">
        <v>21</v>
      </c>
      <c r="C100" s="1" t="s">
        <v>31</v>
      </c>
      <c r="D100" s="1">
        <v>37</v>
      </c>
      <c r="E100" s="1">
        <v>31</v>
      </c>
      <c r="F100" s="1">
        <v>2</v>
      </c>
      <c r="G100" s="1">
        <v>0</v>
      </c>
      <c r="H100" s="6">
        <f t="shared" si="1"/>
        <v>119.35483870967742</v>
      </c>
      <c r="I100" s="1"/>
    </row>
    <row r="101" spans="1:9" x14ac:dyDescent="0.3">
      <c r="A101" s="7" t="s">
        <v>16</v>
      </c>
      <c r="B101" s="8" t="s">
        <v>21</v>
      </c>
      <c r="C101" s="8" t="s">
        <v>31</v>
      </c>
      <c r="D101" s="8">
        <v>90</v>
      </c>
      <c r="E101" s="8">
        <v>49</v>
      </c>
      <c r="F101" s="8">
        <v>5</v>
      </c>
      <c r="G101" s="8">
        <v>2</v>
      </c>
      <c r="H101" s="9">
        <f t="shared" si="1"/>
        <v>183.67346938775512</v>
      </c>
      <c r="I101" s="1"/>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2F99A-EF35-4FDF-AC08-C401B3238D53}">
  <dimension ref="G5"/>
  <sheetViews>
    <sheetView showGridLines="0" showRowColHeaders="0" tabSelected="1" workbookViewId="0">
      <selection activeCell="J37" sqref="J37"/>
    </sheetView>
  </sheetViews>
  <sheetFormatPr defaultRowHeight="14.4" x14ac:dyDescent="0.3"/>
  <sheetData>
    <row r="5" spans="7:7" ht="15.6" x14ac:dyDescent="0.3">
      <c r="G5"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Table1</vt:lpstr>
      <vt:lpstr>Pivot Table2</vt:lpstr>
      <vt:lpstr>Pivot Table3</vt:lpstr>
      <vt:lpstr>Pivot Table5</vt:lpstr>
      <vt:lpstr>Cricket_Data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dc:creator>
  <cp:lastModifiedBy>naveen k</cp:lastModifiedBy>
  <dcterms:created xsi:type="dcterms:W3CDTF">2026-06-06T13:18:56Z</dcterms:created>
  <dcterms:modified xsi:type="dcterms:W3CDTF">2026-06-13T15:53:14Z</dcterms:modified>
</cp:coreProperties>
</file>